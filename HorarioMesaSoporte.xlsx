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atacentercolombia-my.sharepoint.com/personal/liseth_torres_dcsas_com_co/Documents/"/>
    </mc:Choice>
  </mc:AlternateContent>
  <xr:revisionPtr revIDLastSave="0" documentId="8_{5DBC5705-5351-4150-A009-E53340EE4D5C}" xr6:coauthVersionLast="47" xr6:coauthVersionMax="47" xr10:uidLastSave="{00000000-0000-0000-0000-000000000000}"/>
  <bookViews>
    <workbookView xWindow="-120" yWindow="-120" windowWidth="24240" windowHeight="13020" firstSheet="18" activeTab="18" xr2:uid="{588947F1-112D-45D1-98B8-78A3FD16331B}"/>
  </bookViews>
  <sheets>
    <sheet name="ENERO " sheetId="1" r:id="rId1"/>
    <sheet name="TURNOS  MESA SOPORTE" sheetId="4" r:id="rId2"/>
    <sheet name="FEBRERO" sheetId="6" r:id="rId3"/>
    <sheet name="TURNOS FEBRERO" sheetId="8" r:id="rId4"/>
    <sheet name="NOVEDADES FEBRERO" sheetId="12" r:id="rId5"/>
    <sheet name="MARZO " sheetId="9" r:id="rId6"/>
    <sheet name="TURNOS MARZO" sheetId="11" r:id="rId7"/>
    <sheet name="NOVEDADES MARZO" sheetId="13" r:id="rId8"/>
    <sheet name="TURNOS ABRIL" sheetId="18" r:id="rId9"/>
    <sheet name="ABRIL" sheetId="15" r:id="rId10"/>
    <sheet name="TURNOS MAYO" sheetId="20" r:id="rId11"/>
    <sheet name="MAYO" sheetId="19" r:id="rId12"/>
    <sheet name="TURNOS JUNIO" sheetId="26" r:id="rId13"/>
    <sheet name="CAPACITACION" sheetId="25" r:id="rId14"/>
    <sheet name="JUNIO " sheetId="21" r:id="rId15"/>
    <sheet name="DRAF JULIO REDUCCION" sheetId="22" r:id="rId16"/>
    <sheet name="JULIO" sheetId="23" r:id="rId17"/>
    <sheet name="AGOSTO" sheetId="24" r:id="rId18"/>
    <sheet name="SEPTIEMBRE" sheetId="28" r:id="rId19"/>
    <sheet name="Novedades" sheetId="14" r:id="rId20"/>
    <sheet name="Vacaciones" sheetId="3" r:id="rId21"/>
    <sheet name="DIA FAMILIA" sheetId="5" r:id="rId22"/>
    <sheet name="Hoja1" sheetId="16" r:id="rId23"/>
    <sheet name="VACACIONES 2027" sheetId="27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2" l="1"/>
  <c r="H13" i="22"/>
  <c r="E13" i="22"/>
  <c r="I13" i="22"/>
  <c r="E50" i="26"/>
  <c r="E45" i="26"/>
  <c r="J37" i="26"/>
  <c r="I37" i="26"/>
  <c r="H37" i="26"/>
  <c r="G37" i="26"/>
  <c r="F37" i="26"/>
  <c r="E37" i="26"/>
  <c r="K30" i="26"/>
  <c r="J29" i="26"/>
  <c r="I29" i="26"/>
  <c r="H29" i="26"/>
  <c r="G29" i="26"/>
  <c r="F29" i="26"/>
  <c r="E29" i="26"/>
  <c r="K22" i="26"/>
  <c r="J21" i="26"/>
  <c r="I21" i="26"/>
  <c r="H21" i="26"/>
  <c r="G21" i="26"/>
  <c r="F21" i="26"/>
  <c r="E21" i="26"/>
  <c r="J13" i="26"/>
  <c r="I13" i="26"/>
  <c r="H13" i="26"/>
  <c r="G13" i="26"/>
  <c r="F13" i="26"/>
  <c r="E13" i="26"/>
  <c r="J5" i="26"/>
  <c r="I5" i="26"/>
  <c r="H5" i="26"/>
  <c r="G5" i="26"/>
  <c r="F5" i="26"/>
  <c r="E5" i="26"/>
  <c r="K21" i="22"/>
  <c r="K7" i="22"/>
  <c r="K36" i="22"/>
  <c r="K14" i="22"/>
  <c r="G13" i="22"/>
  <c r="E48" i="22"/>
  <c r="E43" i="22"/>
  <c r="J35" i="22"/>
  <c r="I35" i="22"/>
  <c r="H35" i="22"/>
  <c r="G35" i="22"/>
  <c r="F35" i="22"/>
  <c r="E35" i="22"/>
  <c r="K28" i="22"/>
  <c r="J27" i="22"/>
  <c r="I27" i="22"/>
  <c r="H27" i="22"/>
  <c r="G27" i="22"/>
  <c r="F27" i="22"/>
  <c r="E27" i="22"/>
  <c r="J20" i="22"/>
  <c r="I20" i="22"/>
  <c r="H20" i="22"/>
  <c r="G20" i="22"/>
  <c r="F20" i="22"/>
  <c r="E20" i="22"/>
  <c r="J6" i="22"/>
  <c r="I6" i="22"/>
  <c r="H6" i="22"/>
  <c r="G6" i="22"/>
  <c r="F6" i="22"/>
  <c r="E6" i="22"/>
  <c r="E50" i="20"/>
  <c r="E45" i="20"/>
  <c r="J37" i="20"/>
  <c r="I37" i="20"/>
  <c r="H37" i="20"/>
  <c r="G37" i="20"/>
  <c r="F37" i="20"/>
  <c r="E37" i="20"/>
  <c r="K30" i="20"/>
  <c r="J29" i="20"/>
  <c r="I29" i="20"/>
  <c r="H29" i="20"/>
  <c r="G29" i="20"/>
  <c r="F29" i="20"/>
  <c r="E29" i="20"/>
  <c r="K22" i="20"/>
  <c r="J21" i="20"/>
  <c r="I21" i="20"/>
  <c r="H21" i="20"/>
  <c r="G21" i="20"/>
  <c r="F21" i="20"/>
  <c r="E21" i="20"/>
  <c r="J13" i="20"/>
  <c r="I13" i="20"/>
  <c r="H13" i="20"/>
  <c r="G13" i="20"/>
  <c r="F13" i="20"/>
  <c r="E13" i="20"/>
  <c r="J5" i="20"/>
  <c r="I5" i="20"/>
  <c r="H5" i="20"/>
  <c r="G5" i="20"/>
  <c r="F5" i="20"/>
  <c r="E5" i="20"/>
  <c r="E50" i="18"/>
  <c r="E45" i="18"/>
  <c r="J37" i="18"/>
  <c r="I37" i="18"/>
  <c r="H37" i="18"/>
  <c r="G37" i="18"/>
  <c r="F37" i="18"/>
  <c r="E37" i="18"/>
  <c r="K30" i="18"/>
  <c r="J29" i="18"/>
  <c r="I29" i="18"/>
  <c r="H29" i="18"/>
  <c r="G29" i="18"/>
  <c r="F29" i="18"/>
  <c r="E29" i="18"/>
  <c r="K22" i="18"/>
  <c r="J21" i="18"/>
  <c r="I21" i="18"/>
  <c r="H21" i="18"/>
  <c r="G21" i="18"/>
  <c r="F21" i="18"/>
  <c r="E21" i="18"/>
  <c r="J13" i="18"/>
  <c r="I13" i="18"/>
  <c r="H13" i="18"/>
  <c r="G13" i="18"/>
  <c r="F13" i="18"/>
  <c r="E13" i="18"/>
  <c r="J5" i="18"/>
  <c r="I5" i="18"/>
  <c r="H5" i="18"/>
  <c r="G5" i="18"/>
  <c r="F5" i="18"/>
  <c r="E5" i="18"/>
  <c r="J37" i="11"/>
  <c r="I37" i="11"/>
  <c r="H37" i="11"/>
  <c r="G37" i="11"/>
  <c r="F37" i="11"/>
  <c r="E37" i="11"/>
  <c r="E50" i="11"/>
  <c r="E45" i="11"/>
  <c r="K30" i="11"/>
  <c r="J29" i="11"/>
  <c r="I29" i="11"/>
  <c r="H29" i="11"/>
  <c r="G29" i="11"/>
  <c r="F29" i="11"/>
  <c r="E29" i="11"/>
  <c r="K22" i="11"/>
  <c r="J21" i="11"/>
  <c r="I21" i="11"/>
  <c r="H21" i="11"/>
  <c r="G21" i="11"/>
  <c r="F21" i="11"/>
  <c r="E21" i="11"/>
  <c r="J13" i="11"/>
  <c r="I13" i="11"/>
  <c r="H13" i="11"/>
  <c r="G13" i="11"/>
  <c r="F13" i="11"/>
  <c r="E13" i="11"/>
  <c r="J5" i="11"/>
  <c r="I5" i="11"/>
  <c r="H5" i="11"/>
  <c r="G5" i="11"/>
  <c r="F5" i="11"/>
  <c r="E5" i="11"/>
  <c r="E42" i="8"/>
  <c r="E37" i="8"/>
  <c r="K30" i="8"/>
  <c r="J29" i="8"/>
  <c r="I29" i="8"/>
  <c r="H29" i="8"/>
  <c r="G29" i="8"/>
  <c r="F29" i="8"/>
  <c r="E29" i="8"/>
  <c r="K22" i="8"/>
  <c r="J21" i="8"/>
  <c r="I21" i="8"/>
  <c r="H21" i="8"/>
  <c r="G21" i="8"/>
  <c r="F21" i="8"/>
  <c r="E21" i="8"/>
  <c r="J13" i="8"/>
  <c r="I13" i="8"/>
  <c r="H13" i="8"/>
  <c r="G13" i="8"/>
  <c r="F13" i="8"/>
  <c r="E13" i="8"/>
  <c r="J5" i="8"/>
  <c r="I5" i="8"/>
  <c r="H5" i="8"/>
  <c r="G5" i="8"/>
  <c r="F5" i="8"/>
  <c r="E5" i="8"/>
  <c r="K22" i="4"/>
  <c r="K30" i="4"/>
  <c r="J29" i="4"/>
  <c r="I29" i="4"/>
  <c r="H29" i="4"/>
  <c r="G29" i="4"/>
  <c r="F29" i="4"/>
  <c r="E29" i="4"/>
  <c r="J13" i="4"/>
  <c r="I13" i="4"/>
  <c r="H13" i="4"/>
  <c r="G13" i="4"/>
  <c r="F13" i="4"/>
  <c r="E13" i="4"/>
  <c r="J5" i="4"/>
  <c r="I5" i="4"/>
  <c r="H5" i="4"/>
  <c r="G5" i="4"/>
  <c r="F5" i="4"/>
  <c r="E5" i="4"/>
  <c r="E42" i="4"/>
  <c r="E37" i="4"/>
  <c r="J21" i="4"/>
  <c r="I21" i="4"/>
  <c r="H21" i="4"/>
  <c r="G21" i="4"/>
  <c r="F21" i="4"/>
  <c r="E21" i="4"/>
</calcChain>
</file>

<file path=xl/sharedStrings.xml><?xml version="1.0" encoding="utf-8"?>
<sst xmlns="http://schemas.openxmlformats.org/spreadsheetml/2006/main" count="2348" uniqueCount="285">
  <si>
    <t>HORARIO ENERO</t>
  </si>
  <si>
    <t>ANALISTA</t>
  </si>
  <si>
    <t>L</t>
  </si>
  <si>
    <t>M</t>
  </si>
  <si>
    <t>J</t>
  </si>
  <si>
    <t>V</t>
  </si>
  <si>
    <t>S</t>
  </si>
  <si>
    <t>D</t>
  </si>
  <si>
    <t>Heymar Didan Carrillo Ramos - c.c 1002525741</t>
  </si>
  <si>
    <t>Lina Marcela Cortes Hernandez - c.c 39676498</t>
  </si>
  <si>
    <t>Mily Jubelly Ramirez Triana  - c.c. 1022353092</t>
  </si>
  <si>
    <t>Roger Camilo Bolivar Bastidas - c.c. 1072193327</t>
  </si>
  <si>
    <t>Yefferson Alexander Rodriguez Neusa 1003879814</t>
  </si>
  <si>
    <t>Jeimmy Carolina Arias - c.c. 1072746834</t>
  </si>
  <si>
    <t>Liseth Dayana Torres Caro</t>
  </si>
  <si>
    <t>Z</t>
  </si>
  <si>
    <t>John Alejandro Camelo</t>
  </si>
  <si>
    <t>Heidy Daniela Varela Acevedo</t>
  </si>
  <si>
    <t>HORARIOS BREAK</t>
  </si>
  <si>
    <t>4:15 PM / 7:15 PM</t>
  </si>
  <si>
    <t>10:30 AM / 2:45 PM</t>
  </si>
  <si>
    <t>3:15 PM / 6:45 PM</t>
  </si>
  <si>
    <t>8:15 AM / 11:00 AM</t>
  </si>
  <si>
    <t>3:45 PM / 7:45 PM</t>
  </si>
  <si>
    <t>8:45 AM / 11:30 AM</t>
  </si>
  <si>
    <t>10:15 AM / 3:30 PM</t>
  </si>
  <si>
    <t>9:30 AM / 3:00 PM</t>
  </si>
  <si>
    <t>10:00 AM / 3:30 PM</t>
  </si>
  <si>
    <t>COBERTURA</t>
  </si>
  <si>
    <t>DESCRIPCION</t>
  </si>
  <si>
    <t>LUNES</t>
  </si>
  <si>
    <t>MARTES</t>
  </si>
  <si>
    <t>MIÉRCOLES</t>
  </si>
  <si>
    <t>JUEVES</t>
  </si>
  <si>
    <t>VIERNES</t>
  </si>
  <si>
    <t>SÁBADO</t>
  </si>
  <si>
    <t>TOTAL</t>
  </si>
  <si>
    <t>MESA DE SOPORTE</t>
  </si>
  <si>
    <t>TURNO 1</t>
  </si>
  <si>
    <t>INGRESO</t>
  </si>
  <si>
    <t>SALIDA</t>
  </si>
  <si>
    <t>TOTAL LABORADAS</t>
  </si>
  <si>
    <t>7.5</t>
  </si>
  <si>
    <t>6.5</t>
  </si>
  <si>
    <t>Nota:</t>
  </si>
  <si>
    <t>1 Hora Almuerzo</t>
  </si>
  <si>
    <t>Break</t>
  </si>
  <si>
    <t>TURNO 2</t>
  </si>
  <si>
    <t>TURNO 8</t>
  </si>
  <si>
    <t>BREAK</t>
  </si>
  <si>
    <t>TURNO 9</t>
  </si>
  <si>
    <t>DOMINGOS Y FESTIVOS</t>
  </si>
  <si>
    <t>TURNO 10
(REMUNERADO)</t>
  </si>
  <si>
    <t>TURNO 11
(REMUNERADO)</t>
  </si>
  <si>
    <t>HORARIO FEBRERO</t>
  </si>
  <si>
    <t>10:15 AM / 3:15 PM</t>
  </si>
  <si>
    <t>TURNO 3</t>
  </si>
  <si>
    <t>TURNO 4</t>
  </si>
  <si>
    <t>TURNO 5
(REMUNERADO)</t>
  </si>
  <si>
    <t>TURNO 6
(REMUNERADO)</t>
  </si>
  <si>
    <t>Colaborador</t>
  </si>
  <si>
    <t>FECHA</t>
  </si>
  <si>
    <t xml:space="preserve">OBSERVACION </t>
  </si>
  <si>
    <t>Heymar Didan Carrillo Ramos</t>
  </si>
  <si>
    <t>Lina Marcela Cortes Hernandez</t>
  </si>
  <si>
    <t>Cirugia ambulatoria</t>
  </si>
  <si>
    <t>Jeimmy Carolina Arias Cruz</t>
  </si>
  <si>
    <t>Viene a Elemento por cirugia de Lina</t>
  </si>
  <si>
    <t>Mily Jubelly Ramirez Triana</t>
  </si>
  <si>
    <t>Cambio de turno con Yefferson</t>
  </si>
  <si>
    <t>Roger Camilo Bolivar Bastidas</t>
  </si>
  <si>
    <t>Yefferson Alexander Rodriguez Neusa</t>
  </si>
  <si>
    <t>Cambio de turno con Mily</t>
  </si>
  <si>
    <t>Jonathan Steven Espinosa Rubio</t>
  </si>
  <si>
    <t>John Alejandro Camelo Mendoza</t>
  </si>
  <si>
    <t>HORARIO MARZO</t>
  </si>
  <si>
    <t>VACACIONES</t>
  </si>
  <si>
    <t>LICENCIA</t>
  </si>
  <si>
    <t>Jonathan Steven Espinosa Rubio - 1012442135</t>
  </si>
  <si>
    <t>TURNO 7</t>
  </si>
  <si>
    <t>ALMUERZO</t>
  </si>
  <si>
    <t>Turno 4 por cita medica de Mily</t>
  </si>
  <si>
    <t xml:space="preserve">Turno 4 por cumpleaños de </t>
  </si>
  <si>
    <t>Turno 2 por cita de mily</t>
  </si>
  <si>
    <t>Turno 3 por cita medica</t>
  </si>
  <si>
    <t>Cumpleaños hijo ingresa de 6 a 10 am</t>
  </si>
  <si>
    <t>Turno 4 Cita medica</t>
  </si>
  <si>
    <t>Turno 4 por cumpleaños de hijo Mily</t>
  </si>
  <si>
    <t>&lt;</t>
  </si>
  <si>
    <t>HORARIO ABRIL</t>
  </si>
  <si>
    <t>INCAPACI</t>
  </si>
  <si>
    <t>HORARIO MAYO</t>
  </si>
  <si>
    <t>Karen Dayanna Montañez Umaña</t>
  </si>
  <si>
    <t>NOTA</t>
  </si>
  <si>
    <t>LINA</t>
  </si>
  <si>
    <t>T5</t>
  </si>
  <si>
    <t>6AM-2PM</t>
  </si>
  <si>
    <t>YEFER</t>
  </si>
  <si>
    <t>T6</t>
  </si>
  <si>
    <t>12PM-8PM</t>
  </si>
  <si>
    <t>Colaboracion</t>
  </si>
  <si>
    <t>Correo</t>
  </si>
  <si>
    <t>FECHA Y HORA</t>
  </si>
  <si>
    <t>John Camelo</t>
  </si>
  <si>
    <t>john.camelo@dcsas.com.co </t>
  </si>
  <si>
    <t>04/06/2026 /9:00</t>
  </si>
  <si>
    <t>Karen Montañez</t>
  </si>
  <si>
    <t>dayanna.montanez@dcsas.com.co</t>
  </si>
  <si>
    <t>02/06/2026 /16:00</t>
  </si>
  <si>
    <t>Lina Cortes</t>
  </si>
  <si>
    <t xml:space="preserve">lina.cortes@dcsas.com.co    </t>
  </si>
  <si>
    <t>03/06/2026 /14:00</t>
  </si>
  <si>
    <t>Heymar Carillo</t>
  </si>
  <si>
    <t>heymar.carrillo@dcsas.com.co       </t>
  </si>
  <si>
    <t>02/06/2026 /9:00</t>
  </si>
  <si>
    <t>Mily Ramirez</t>
  </si>
  <si>
    <t>mily.ramirez@dcsas.com.co    </t>
  </si>
  <si>
    <t>03/06/2026 /11:00</t>
  </si>
  <si>
    <t>Jeimmy Arias</t>
  </si>
  <si>
    <t>jeimmy.arias@dcsas.com.co     </t>
  </si>
  <si>
    <t>04/06/2026 /11:00</t>
  </si>
  <si>
    <t xml:space="preserve">Roger Bolivar </t>
  </si>
  <si>
    <t>roger.bolivar@dcsas.com.co        </t>
  </si>
  <si>
    <t>04/06/2026 /16:00</t>
  </si>
  <si>
    <t>Yefferson Rodriguez</t>
  </si>
  <si>
    <t>yefferson.rodriguez@dcsas.com.co   </t>
  </si>
  <si>
    <t>02/06/2026 /11:00</t>
  </si>
  <si>
    <t>HORARIO JUNIO</t>
  </si>
  <si>
    <t xml:space="preserve">Heymar Didan Carrillo Ramos </t>
  </si>
  <si>
    <t>IN</t>
  </si>
  <si>
    <t xml:space="preserve">Mily Jubelly Ramirez Triana </t>
  </si>
  <si>
    <t xml:space="preserve">Roger Camilo Bolivar Bastidas </t>
  </si>
  <si>
    <t>|</t>
  </si>
  <si>
    <t>David Santiago Acosta Santos</t>
  </si>
  <si>
    <t>vacaciones</t>
  </si>
  <si>
    <t>TURNO</t>
  </si>
  <si>
    <t>Break 1</t>
  </si>
  <si>
    <t>Break 2</t>
  </si>
  <si>
    <t>Almuerzo</t>
  </si>
  <si>
    <t>9:00 a 10:00</t>
  </si>
  <si>
    <t>13:45 a 14:20</t>
  </si>
  <si>
    <t>10:00 a 10:45</t>
  </si>
  <si>
    <t>15:00 a 16:00</t>
  </si>
  <si>
    <t>7:30 a 8:30</t>
  </si>
  <si>
    <t>11:00 a 11:45</t>
  </si>
  <si>
    <t>N/A</t>
  </si>
  <si>
    <t>15:30 A 16:30</t>
  </si>
  <si>
    <t>18:00 A 18:45</t>
  </si>
  <si>
    <t>13:15 A 14:00</t>
  </si>
  <si>
    <t>17:45 A 18:30</t>
  </si>
  <si>
    <t>14:00 a 14:30</t>
  </si>
  <si>
    <t>14:30 a 14:45</t>
  </si>
  <si>
    <t>16:00 a 16:45</t>
  </si>
  <si>
    <t>14:00 A 14:30</t>
  </si>
  <si>
    <t>TURNO 5</t>
  </si>
  <si>
    <t>TURNO 7
(REMUNERADO)</t>
  </si>
  <si>
    <t>HORARIO JULIO</t>
  </si>
  <si>
    <t>CP</t>
  </si>
  <si>
    <t>VC</t>
  </si>
  <si>
    <t>DV</t>
  </si>
  <si>
    <t>ZONA</t>
  </si>
  <si>
    <t>Vacaciones</t>
  </si>
  <si>
    <t>Fecha</t>
  </si>
  <si>
    <t>HORA</t>
  </si>
  <si>
    <t>Analista</t>
  </si>
  <si>
    <t>Observaciones</t>
  </si>
  <si>
    <t>Milly Ramirez</t>
  </si>
  <si>
    <t xml:space="preserve">Cita presencial Plaza Claro </t>
  </si>
  <si>
    <t>Roger Bolivar</t>
  </si>
  <si>
    <t>Se toma reduccion laboral completa, trabaja de 6 a 10 am por cita medica de los hijos</t>
  </si>
  <si>
    <t>Se toma medio dia de las votaciones e ingresa a las 15:30 hasta las 19:00 por cita medica</t>
  </si>
  <si>
    <t>Cita medica, se tomara 3 horas de reduccion laboral</t>
  </si>
  <si>
    <t>Cita acondicionamiento fisico</t>
  </si>
  <si>
    <t>Cumpleaños Hijo, sale a las 10 am</t>
  </si>
  <si>
    <t xml:space="preserve">Sale de turno a las 2 pm y se cambia dia de reduccion para el 13/03/2026 </t>
  </si>
  <si>
    <t xml:space="preserve">Cita medica   </t>
  </si>
  <si>
    <t>Heymar Carrillo</t>
  </si>
  <si>
    <t xml:space="preserve">Cambia de turno con Mily y se toma las 4 horas de la reduccion </t>
  </si>
  <si>
    <t>ABRIL</t>
  </si>
  <si>
    <t xml:space="preserve">CITA MEDICA POR LO TANTO, TRABAJA PRESENCIAL, INGRESA A LAS 6 AM Y SALE A LA 1 PM </t>
  </si>
  <si>
    <t xml:space="preserve">ingresa a las 10:30 am y sale a las 14:30 por 4 horas de las votaciones. </t>
  </si>
  <si>
    <t>Cita medica a las 9:40</t>
  </si>
  <si>
    <t>4:20 Y 5:40</t>
  </si>
  <si>
    <t xml:space="preserve">CITAS MEDICAS POR LO TANTO SE DEBE OTORGAR REDUCCION LABORAL DE 2 HORAS </t>
  </si>
  <si>
    <t>Carolina</t>
  </si>
  <si>
    <t xml:space="preserve">CITA MEDICA EN LA TARDE </t>
  </si>
  <si>
    <t>MAYO</t>
  </si>
  <si>
    <t>Cita medica del hijo por lo tanto requiere realizar turno en la mañana</t>
  </si>
  <si>
    <t>6:00Am</t>
  </si>
  <si>
    <t>Mily-lina</t>
  </si>
  <si>
    <t xml:space="preserve">Cambio de turno </t>
  </si>
  <si>
    <t>6:00AM</t>
  </si>
  <si>
    <t>roger - jeymmy</t>
  </si>
  <si>
    <t>JUNIO</t>
  </si>
  <si>
    <t xml:space="preserve">Yefferson </t>
  </si>
  <si>
    <t xml:space="preserve">Dia de la familia </t>
  </si>
  <si>
    <t xml:space="preserve">Cita medica hija por lo tanto requiere realizar turno en la mañana </t>
  </si>
  <si>
    <t xml:space="preserve">4 dias de la votacio </t>
  </si>
  <si>
    <t>JULIO</t>
  </si>
  <si>
    <t xml:space="preserve">Cita medica </t>
  </si>
  <si>
    <t xml:space="preserve">3 citas medicas </t>
  </si>
  <si>
    <t>Liseth Torres</t>
  </si>
  <si>
    <t>medio dia de votacion</t>
  </si>
  <si>
    <t xml:space="preserve">Santiago </t>
  </si>
  <si>
    <t xml:space="preserve">dia de votacion </t>
  </si>
  <si>
    <t xml:space="preserve">Karen Montañez </t>
  </si>
  <si>
    <t>Capacitacion en el centro</t>
  </si>
  <si>
    <t>Mily</t>
  </si>
  <si>
    <t>cambio de turno con yeferson por cita medica</t>
  </si>
  <si>
    <t xml:space="preserve">REGISTRO VACACIONES Y DIAS DE LA FAMILIA </t>
  </si>
  <si>
    <t>Fecha de cumplimiento vacaciones</t>
  </si>
  <si>
    <t xml:space="preserve">Tipo de permiso </t>
  </si>
  <si>
    <t>Pendientes por tomar</t>
  </si>
  <si>
    <t>Fecha solicitud</t>
  </si>
  <si>
    <t xml:space="preserve">Fecha inicio </t>
  </si>
  <si>
    <t>Fecha Fin</t>
  </si>
  <si>
    <t xml:space="preserve">Vacaciones  </t>
  </si>
  <si>
    <t xml:space="preserve">Se reintegra el 23 de mayo </t>
  </si>
  <si>
    <t>Vacaciones y dia familia</t>
  </si>
  <si>
    <t>Dia familia</t>
  </si>
  <si>
    <t>Se reintegra el 1 de Julio</t>
  </si>
  <si>
    <t>Se reintegra el 11 de abril</t>
  </si>
  <si>
    <t>William Alexander Tejada Embuz</t>
  </si>
  <si>
    <t xml:space="preserve">Se reintegra el 27 de octubre </t>
  </si>
  <si>
    <t>8 dias de vacaciones y 7 pagos, se reintegra el 23 de septiembre</t>
  </si>
  <si>
    <t>Se reintegra el 4 de junio</t>
  </si>
  <si>
    <t>Se reintegra el 10 de noviembre</t>
  </si>
  <si>
    <t xml:space="preserve">Se reintegra el 5 de septiembre </t>
  </si>
  <si>
    <t>Fecha Tentativa Dia de la Familia 2026</t>
  </si>
  <si>
    <t>2 de mayo 2026</t>
  </si>
  <si>
    <t>PENDIENTE</t>
  </si>
  <si>
    <t>16 de junio</t>
  </si>
  <si>
    <t>MARZO</t>
  </si>
  <si>
    <t> </t>
  </si>
  <si>
    <t>CEDULA</t>
  </si>
  <si>
    <t>COLABORADOR</t>
  </si>
  <si>
    <t>CARGO</t>
  </si>
  <si>
    <t>AREA</t>
  </si>
  <si>
    <t>FECHA INGRESO</t>
  </si>
  <si>
    <t>PERIODO INICIO</t>
  </si>
  <si>
    <t>PERIODO FINAL</t>
  </si>
  <si>
    <t>DIAS DISPONIBLES DE VACACIONES POR PERIODO</t>
  </si>
  <si>
    <t>OBSERVACIONEA</t>
  </si>
  <si>
    <t>FECHA PROGRAMADA</t>
  </si>
  <si>
    <t>OBSERVACION</t>
  </si>
  <si>
    <t>CORTES HERNANDEZ LINA MARCELA</t>
  </si>
  <si>
    <t>ANALISTA DE SOPORTE TECNICO</t>
  </si>
  <si>
    <t>SERVICIOS</t>
  </si>
  <si>
    <t>7.38</t>
  </si>
  <si>
    <t>del 05 de junio al 30 de junio</t>
  </si>
  <si>
    <t>pendiente carta</t>
  </si>
  <si>
    <t>CARRILLO RAMOS HEYMAR DIDAN</t>
  </si>
  <si>
    <t>15.00</t>
  </si>
  <si>
    <t>30 de abril al 22 de mayo</t>
  </si>
  <si>
    <t>RODRIGUEZ NEUSA YEFFERSON ALEXANDER</t>
  </si>
  <si>
    <t>7.00</t>
  </si>
  <si>
    <t>REALIZAR PROCESO PARA PARA PAGO</t>
  </si>
  <si>
    <t>Tomadas las vacaciones</t>
  </si>
  <si>
    <t>06 de marzo hasta el 27 de marzo</t>
  </si>
  <si>
    <t>tomadas las vacaciones</t>
  </si>
  <si>
    <t>2.58</t>
  </si>
  <si>
    <t>CAMELO MENDOZA JOHN ALEJANDRO</t>
  </si>
  <si>
    <t>ANALISTA TECNICO DE SOPORTE SEMI SENIOR</t>
  </si>
  <si>
    <t>13 de agosto al 03 de septiembre</t>
  </si>
  <si>
    <t>ANALSITA TECNICO DE SOPORTE SEMI SENIOR</t>
  </si>
  <si>
    <t>7.92</t>
  </si>
  <si>
    <t>RAMIREZ TRIANA MILY JUBELLY</t>
  </si>
  <si>
    <t>12.17</t>
  </si>
  <si>
    <t>05 de octubre al 26 de octubre</t>
  </si>
  <si>
    <t>TORRES CARO LISETH DAYANA</t>
  </si>
  <si>
    <t>25 de mayo al 03 de junio</t>
  </si>
  <si>
    <t>pendiente solicitar los dias restantes</t>
  </si>
  <si>
    <t>0.25</t>
  </si>
  <si>
    <t>BOLIVAR BASTIDAS ROGER CAMILO</t>
  </si>
  <si>
    <t>2.04</t>
  </si>
  <si>
    <t>03 de noviembre al 12 de noviembre</t>
  </si>
  <si>
    <t>7 dias pagos</t>
  </si>
  <si>
    <t>ARIAS CRUZ JEIMMY CAROLINA</t>
  </si>
  <si>
    <t>pendiete aprovacion de personal</t>
  </si>
  <si>
    <t>30 de Marzo al 10 de abril</t>
  </si>
  <si>
    <t>2.75</t>
  </si>
  <si>
    <t>REGISTRO VACACIONES 2027</t>
  </si>
  <si>
    <t>TENTATIVA DE FECHAS</t>
  </si>
  <si>
    <t>VIERNES 19 DE MARZO AL MARTES 13 DE ABRIL</t>
  </si>
  <si>
    <t>VIERNES 2 DE JULIO AL MARTES 27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</si>
</sst>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2">
    <font>
      <sz val="11"/>
      <color theme="1"/>
      <name val="Aptos Narrow"/>
      <family val="2"/>
      <scheme val="minor"/>
    </font>
    <font>
      <sz val="11"/>
      <color theme="1"/>
      <name val="Bierstadt"/>
      <family val="2"/>
    </font>
    <font>
      <b/>
      <sz val="11"/>
      <color rgb="FF000000"/>
      <name val="Bierstadt"/>
      <family val="2"/>
    </font>
    <font>
      <b/>
      <sz val="11"/>
      <color rgb="FFFF0000"/>
      <name val="Bierstadt"/>
      <family val="2"/>
    </font>
    <font>
      <b/>
      <sz val="11"/>
      <color theme="1"/>
      <name val="Bierstadt"/>
      <family val="2"/>
    </font>
    <font>
      <sz val="11"/>
      <color rgb="FF000000"/>
      <name val="Bierstadt"/>
      <family val="2"/>
    </font>
    <font>
      <b/>
      <sz val="11"/>
      <name val="Bierstadt"/>
      <family val="2"/>
    </font>
    <font>
      <b/>
      <sz val="18"/>
      <color theme="1"/>
      <name val="Bierstadt"/>
      <family val="2"/>
    </font>
    <font>
      <b/>
      <sz val="10"/>
      <color theme="1"/>
      <name val="Bierstadt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Bierstadt"/>
      <family val="2"/>
    </font>
    <font>
      <b/>
      <sz val="11"/>
      <color rgb="FF002060"/>
      <name val="Aptos Narrow"/>
      <family val="2"/>
      <scheme val="minor"/>
    </font>
    <font>
      <sz val="11"/>
      <color theme="1"/>
      <name val="-Apple-System"/>
      <charset val="1"/>
    </font>
    <font>
      <sz val="12"/>
      <color theme="1"/>
      <name val="Aptos Narrow"/>
      <family val="2"/>
      <scheme val="minor"/>
    </font>
    <font>
      <sz val="11"/>
      <color theme="1"/>
      <name val="Bierstadt Display"/>
    </font>
    <font>
      <b/>
      <sz val="18"/>
      <color theme="1"/>
      <name val="Bierstadt Display"/>
    </font>
    <font>
      <b/>
      <sz val="11"/>
      <color rgb="FF000000"/>
      <name val="Bierstadt Display"/>
    </font>
    <font>
      <b/>
      <sz val="11"/>
      <color theme="1"/>
      <name val="Bierstadt Display"/>
    </font>
    <font>
      <b/>
      <sz val="11"/>
      <color rgb="FFFF0000"/>
      <name val="Bierstadt Display"/>
    </font>
    <font>
      <b/>
      <sz val="11"/>
      <name val="Bierstadt Display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9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BAA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9EF0"/>
        <bgColor indexed="64"/>
      </patternFill>
    </fill>
    <fill>
      <patternFill patternType="solid">
        <fgColor rgb="FF889DF2"/>
        <bgColor indexed="64"/>
      </patternFill>
    </fill>
    <fill>
      <patternFill patternType="solid">
        <fgColor rgb="FFC9B43A"/>
        <bgColor indexed="64"/>
      </patternFill>
    </fill>
    <fill>
      <patternFill patternType="solid">
        <fgColor rgb="FF54662B"/>
        <bgColor indexed="64"/>
      </patternFill>
    </fill>
    <fill>
      <patternFill patternType="solid">
        <fgColor rgb="FF4A57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EDB2A8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EFAA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BCE8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20">
    <xf numFmtId="0" fontId="0" fillId="0" borderId="0" xfId="0"/>
    <xf numFmtId="0" fontId="1" fillId="0" borderId="0" xfId="0" applyFont="1"/>
    <xf numFmtId="0" fontId="2" fillId="6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7" borderId="12" xfId="0" applyFont="1" applyFill="1" applyBorder="1"/>
    <xf numFmtId="0" fontId="6" fillId="6" borderId="13" xfId="0" applyFont="1" applyFill="1" applyBorder="1" applyAlignment="1">
      <alignment vertical="center"/>
    </xf>
    <xf numFmtId="0" fontId="2" fillId="6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6" borderId="13" xfId="0" applyFont="1" applyFill="1" applyBorder="1"/>
    <xf numFmtId="0" fontId="2" fillId="0" borderId="14" xfId="0" applyFont="1" applyBorder="1"/>
    <xf numFmtId="0" fontId="2" fillId="4" borderId="1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2" xfId="0" applyFont="1" applyBorder="1"/>
    <xf numFmtId="14" fontId="11" fillId="0" borderId="2" xfId="0" applyNumberFormat="1" applyFont="1" applyBorder="1"/>
    <xf numFmtId="0" fontId="11" fillId="0" borderId="6" xfId="0" applyFont="1" applyBorder="1"/>
    <xf numFmtId="0" fontId="12" fillId="0" borderId="6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1" fillId="0" borderId="16" xfId="0" applyFont="1" applyBorder="1"/>
    <xf numFmtId="0" fontId="11" fillId="0" borderId="8" xfId="0" applyFont="1" applyBorder="1"/>
    <xf numFmtId="0" fontId="12" fillId="0" borderId="2" xfId="0" applyFont="1" applyBorder="1" applyAlignment="1">
      <alignment horizontal="left"/>
    </xf>
    <xf numFmtId="0" fontId="11" fillId="0" borderId="0" xfId="0" applyFont="1"/>
    <xf numFmtId="0" fontId="2" fillId="6" borderId="32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13" fillId="18" borderId="48" xfId="0" applyFont="1" applyFill="1" applyBorder="1" applyAlignment="1">
      <alignment horizontal="center"/>
    </xf>
    <xf numFmtId="2" fontId="0" fillId="0" borderId="0" xfId="0" applyNumberFormat="1"/>
    <xf numFmtId="1" fontId="13" fillId="18" borderId="1" xfId="0" applyNumberFormat="1" applyFont="1" applyFill="1" applyBorder="1" applyAlignment="1">
      <alignment horizontal="center"/>
    </xf>
    <xf numFmtId="0" fontId="13" fillId="14" borderId="48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21" fontId="0" fillId="14" borderId="2" xfId="0" applyNumberFormat="1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21" fontId="0" fillId="14" borderId="26" xfId="0" applyNumberFormat="1" applyFill="1" applyBorder="1" applyAlignment="1">
      <alignment horizontal="center"/>
    </xf>
    <xf numFmtId="1" fontId="13" fillId="14" borderId="1" xfId="0" applyNumberFormat="1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0" fillId="14" borderId="1" xfId="0" applyFill="1" applyBorder="1"/>
    <xf numFmtId="0" fontId="13" fillId="19" borderId="48" xfId="0" applyFont="1" applyFill="1" applyBorder="1" applyAlignment="1">
      <alignment horizontal="center"/>
    </xf>
    <xf numFmtId="0" fontId="13" fillId="19" borderId="2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21" fontId="0" fillId="19" borderId="2" xfId="0" applyNumberFormat="1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21" fontId="0" fillId="19" borderId="26" xfId="0" applyNumberFormat="1" applyFill="1" applyBorder="1" applyAlignment="1">
      <alignment horizontal="center"/>
    </xf>
    <xf numFmtId="1" fontId="13" fillId="19" borderId="1" xfId="0" applyNumberFormat="1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0" fillId="19" borderId="1" xfId="0" applyFill="1" applyBorder="1"/>
    <xf numFmtId="0" fontId="13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21" fontId="0" fillId="18" borderId="1" xfId="0" applyNumberFormat="1" applyFill="1" applyBorder="1" applyAlignment="1">
      <alignment horizontal="center"/>
    </xf>
    <xf numFmtId="21" fontId="15" fillId="18" borderId="1" xfId="0" applyNumberFormat="1" applyFont="1" applyFill="1" applyBorder="1" applyAlignment="1">
      <alignment horizontal="center"/>
    </xf>
    <xf numFmtId="46" fontId="0" fillId="18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0" fillId="18" borderId="1" xfId="0" applyFill="1" applyBorder="1"/>
    <xf numFmtId="0" fontId="13" fillId="10" borderId="48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21" fontId="0" fillId="10" borderId="2" xfId="0" applyNumberFormat="1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21" fontId="0" fillId="10" borderId="26" xfId="0" applyNumberFormat="1" applyFill="1" applyBorder="1" applyAlignment="1">
      <alignment horizontal="center"/>
    </xf>
    <xf numFmtId="1" fontId="13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0" fillId="10" borderId="1" xfId="0" applyFill="1" applyBorder="1"/>
    <xf numFmtId="0" fontId="13" fillId="20" borderId="2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16" fillId="25" borderId="38" xfId="0" applyFont="1" applyFill="1" applyBorder="1" applyAlignment="1">
      <alignment horizontal="center"/>
    </xf>
    <xf numFmtId="0" fontId="16" fillId="26" borderId="38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21" fontId="0" fillId="20" borderId="2" xfId="0" applyNumberFormat="1" applyFill="1" applyBorder="1" applyAlignment="1">
      <alignment horizontal="center"/>
    </xf>
    <xf numFmtId="0" fontId="13" fillId="27" borderId="2" xfId="0" applyFont="1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21" fontId="0" fillId="27" borderId="2" xfId="0" applyNumberFormat="1" applyFill="1" applyBorder="1" applyAlignment="1">
      <alignment horizontal="center"/>
    </xf>
    <xf numFmtId="0" fontId="17" fillId="27" borderId="2" xfId="0" applyFont="1" applyFill="1" applyBorder="1" applyAlignment="1">
      <alignment horizontal="center" wrapText="1"/>
    </xf>
    <xf numFmtId="0" fontId="17" fillId="20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7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47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4" fillId="27" borderId="37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4" fillId="20" borderId="37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13" fillId="29" borderId="48" xfId="0" applyFont="1" applyFill="1" applyBorder="1" applyAlignment="1">
      <alignment horizontal="center"/>
    </xf>
    <xf numFmtId="0" fontId="13" fillId="29" borderId="2" xfId="0" applyFont="1" applyFill="1" applyBorder="1" applyAlignment="1">
      <alignment horizontal="center"/>
    </xf>
    <xf numFmtId="0" fontId="0" fillId="29" borderId="2" xfId="0" applyFill="1" applyBorder="1" applyAlignment="1">
      <alignment horizontal="center"/>
    </xf>
    <xf numFmtId="21" fontId="0" fillId="29" borderId="2" xfId="0" applyNumberFormat="1" applyFill="1" applyBorder="1" applyAlignment="1">
      <alignment horizontal="center"/>
    </xf>
    <xf numFmtId="0" fontId="0" fillId="29" borderId="26" xfId="0" applyFill="1" applyBorder="1" applyAlignment="1">
      <alignment horizontal="center"/>
    </xf>
    <xf numFmtId="21" fontId="0" fillId="29" borderId="26" xfId="0" applyNumberFormat="1" applyFill="1" applyBorder="1" applyAlignment="1">
      <alignment horizontal="center"/>
    </xf>
    <xf numFmtId="1" fontId="13" fillId="29" borderId="1" xfId="0" applyNumberFormat="1" applyFont="1" applyFill="1" applyBorder="1" applyAlignment="1">
      <alignment horizontal="center"/>
    </xf>
    <xf numFmtId="0" fontId="14" fillId="29" borderId="1" xfId="0" applyFont="1" applyFill="1" applyBorder="1" applyAlignment="1">
      <alignment horizontal="center"/>
    </xf>
    <xf numFmtId="0" fontId="0" fillId="29" borderId="1" xfId="0" applyFill="1" applyBorder="1"/>
    <xf numFmtId="0" fontId="13" fillId="30" borderId="48" xfId="0" applyFont="1" applyFill="1" applyBorder="1" applyAlignment="1">
      <alignment horizontal="center"/>
    </xf>
    <xf numFmtId="0" fontId="13" fillId="30" borderId="2" xfId="0" applyFont="1" applyFill="1" applyBorder="1" applyAlignment="1">
      <alignment horizontal="center"/>
    </xf>
    <xf numFmtId="0" fontId="0" fillId="30" borderId="2" xfId="0" applyFill="1" applyBorder="1" applyAlignment="1">
      <alignment horizontal="center"/>
    </xf>
    <xf numFmtId="21" fontId="0" fillId="30" borderId="2" xfId="0" applyNumberFormat="1" applyFill="1" applyBorder="1" applyAlignment="1">
      <alignment horizontal="center"/>
    </xf>
    <xf numFmtId="0" fontId="0" fillId="30" borderId="26" xfId="0" applyFill="1" applyBorder="1" applyAlignment="1">
      <alignment horizontal="center"/>
    </xf>
    <xf numFmtId="21" fontId="0" fillId="30" borderId="26" xfId="0" applyNumberFormat="1" applyFill="1" applyBorder="1" applyAlignment="1">
      <alignment horizontal="center"/>
    </xf>
    <xf numFmtId="1" fontId="13" fillId="30" borderId="1" xfId="0" applyNumberFormat="1" applyFont="1" applyFill="1" applyBorder="1" applyAlignment="1">
      <alignment horizontal="center"/>
    </xf>
    <xf numFmtId="0" fontId="14" fillId="30" borderId="1" xfId="0" applyFont="1" applyFill="1" applyBorder="1" applyAlignment="1">
      <alignment horizontal="center"/>
    </xf>
    <xf numFmtId="0" fontId="0" fillId="30" borderId="1" xfId="0" applyFill="1" applyBorder="1"/>
    <xf numFmtId="0" fontId="2" fillId="29" borderId="36" xfId="0" applyFont="1" applyFill="1" applyBorder="1" applyAlignment="1">
      <alignment horizontal="center"/>
    </xf>
    <xf numFmtId="0" fontId="2" fillId="28" borderId="36" xfId="0" applyFont="1" applyFill="1" applyBorder="1" applyAlignment="1">
      <alignment horizontal="center"/>
    </xf>
    <xf numFmtId="0" fontId="2" fillId="28" borderId="41" xfId="0" applyFont="1" applyFill="1" applyBorder="1" applyAlignment="1">
      <alignment horizontal="center"/>
    </xf>
    <xf numFmtId="0" fontId="0" fillId="0" borderId="1" xfId="0" applyBorder="1"/>
    <xf numFmtId="0" fontId="2" fillId="2" borderId="45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13" fillId="0" borderId="47" xfId="0" applyFont="1" applyBorder="1"/>
    <xf numFmtId="0" fontId="0" fillId="0" borderId="36" xfId="0" applyBorder="1"/>
    <xf numFmtId="14" fontId="0" fillId="0" borderId="1" xfId="0" applyNumberFormat="1" applyBorder="1"/>
    <xf numFmtId="0" fontId="2" fillId="31" borderId="1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58" xfId="0" applyBorder="1"/>
    <xf numFmtId="0" fontId="4" fillId="27" borderId="35" xfId="0" applyFont="1" applyFill="1" applyBorder="1" applyAlignment="1">
      <alignment horizontal="center"/>
    </xf>
    <xf numFmtId="0" fontId="2" fillId="31" borderId="9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8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1" borderId="5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1" fontId="0" fillId="7" borderId="2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21" fontId="0" fillId="7" borderId="26" xfId="0" applyNumberFormat="1" applyFill="1" applyBorder="1" applyAlignment="1">
      <alignment horizontal="center"/>
    </xf>
    <xf numFmtId="1" fontId="13" fillId="7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2" fillId="28" borderId="50" xfId="0" applyFont="1" applyFill="1" applyBorder="1" applyAlignment="1">
      <alignment horizontal="center"/>
    </xf>
    <xf numFmtId="0" fontId="4" fillId="20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4" fillId="27" borderId="9" xfId="0" applyFont="1" applyFill="1" applyBorder="1" applyAlignment="1">
      <alignment horizontal="center"/>
    </xf>
    <xf numFmtId="0" fontId="2" fillId="31" borderId="10" xfId="0" applyFont="1" applyFill="1" applyBorder="1" applyAlignment="1">
      <alignment horizontal="center"/>
    </xf>
    <xf numFmtId="0" fontId="2" fillId="31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20" borderId="1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0" fillId="0" borderId="0" xfId="0" applyNumberFormat="1"/>
    <xf numFmtId="164" fontId="1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6" borderId="1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1" fillId="0" borderId="6" xfId="0" applyFont="1" applyBorder="1" applyAlignment="1">
      <alignment wrapText="1"/>
    </xf>
    <xf numFmtId="14" fontId="19" fillId="0" borderId="1" xfId="0" applyNumberFormat="1" applyFont="1" applyBorder="1"/>
    <xf numFmtId="0" fontId="11" fillId="0" borderId="63" xfId="0" applyFont="1" applyBorder="1"/>
    <xf numFmtId="0" fontId="11" fillId="0" borderId="26" xfId="0" applyFont="1" applyBorder="1"/>
    <xf numFmtId="0" fontId="11" fillId="0" borderId="29" xfId="0" applyFont="1" applyBorder="1"/>
    <xf numFmtId="14" fontId="11" fillId="0" borderId="29" xfId="0" applyNumberFormat="1" applyFont="1" applyBorder="1"/>
    <xf numFmtId="14" fontId="0" fillId="0" borderId="49" xfId="0" applyNumberFormat="1" applyBorder="1"/>
    <xf numFmtId="164" fontId="0" fillId="0" borderId="61" xfId="0" applyNumberFormat="1" applyBorder="1"/>
    <xf numFmtId="0" fontId="0" fillId="0" borderId="61" xfId="0" applyBorder="1"/>
    <xf numFmtId="0" fontId="0" fillId="0" borderId="50" xfId="0" applyBorder="1"/>
    <xf numFmtId="0" fontId="2" fillId="0" borderId="49" xfId="0" applyFont="1" applyBorder="1" applyAlignment="1">
      <alignment horizont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4" fillId="20" borderId="49" xfId="0" applyFont="1" applyFill="1" applyBorder="1" applyAlignment="1">
      <alignment horizontal="center"/>
    </xf>
    <xf numFmtId="0" fontId="4" fillId="27" borderId="49" xfId="0" applyFont="1" applyFill="1" applyBorder="1" applyAlignment="1">
      <alignment horizontal="center"/>
    </xf>
    <xf numFmtId="0" fontId="0" fillId="0" borderId="11" xfId="0" applyBorder="1"/>
    <xf numFmtId="0" fontId="2" fillId="0" borderId="1" xfId="0" applyFont="1" applyBorder="1"/>
    <xf numFmtId="0" fontId="2" fillId="2" borderId="1" xfId="0" applyFont="1" applyFill="1" applyBorder="1"/>
    <xf numFmtId="0" fontId="2" fillId="28" borderId="49" xfId="0" applyFont="1" applyFill="1" applyBorder="1" applyAlignment="1">
      <alignment horizontal="center"/>
    </xf>
    <xf numFmtId="0" fontId="2" fillId="29" borderId="49" xfId="0" applyFont="1" applyFill="1" applyBorder="1" applyAlignment="1">
      <alignment horizontal="center"/>
    </xf>
    <xf numFmtId="0" fontId="2" fillId="3" borderId="49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0" fillId="0" borderId="0" xfId="0" applyFont="1"/>
    <xf numFmtId="0" fontId="22" fillId="6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6" borderId="49" xfId="0" applyFont="1" applyFill="1" applyBorder="1" applyAlignment="1">
      <alignment horizontal="center"/>
    </xf>
    <xf numFmtId="0" fontId="23" fillId="7" borderId="12" xfId="0" applyFont="1" applyFill="1" applyBorder="1"/>
    <xf numFmtId="0" fontId="22" fillId="6" borderId="9" xfId="0" applyFont="1" applyFill="1" applyBorder="1" applyAlignment="1">
      <alignment horizontal="center"/>
    </xf>
    <xf numFmtId="0" fontId="24" fillId="6" borderId="9" xfId="0" applyFont="1" applyFill="1" applyBorder="1" applyAlignment="1">
      <alignment horizontal="center"/>
    </xf>
    <xf numFmtId="0" fontId="24" fillId="6" borderId="56" xfId="0" applyFont="1" applyFill="1" applyBorder="1" applyAlignment="1">
      <alignment horizontal="center"/>
    </xf>
    <xf numFmtId="0" fontId="22" fillId="0" borderId="2" xfId="0" applyFont="1" applyBorder="1"/>
    <xf numFmtId="0" fontId="22" fillId="0" borderId="29" xfId="0" applyFont="1" applyBorder="1"/>
    <xf numFmtId="0" fontId="22" fillId="33" borderId="2" xfId="0" applyFont="1" applyFill="1" applyBorder="1" applyAlignment="1">
      <alignment horizontal="center"/>
    </xf>
    <xf numFmtId="0" fontId="25" fillId="34" borderId="2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0" fontId="22" fillId="35" borderId="2" xfId="0" applyFont="1" applyFill="1" applyBorder="1" applyAlignment="1">
      <alignment horizontal="center"/>
    </xf>
    <xf numFmtId="0" fontId="22" fillId="36" borderId="2" xfId="0" applyFont="1" applyFill="1" applyBorder="1" applyAlignment="1">
      <alignment horizontal="center"/>
    </xf>
    <xf numFmtId="0" fontId="2" fillId="6" borderId="64" xfId="0" applyFont="1" applyFill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2" fillId="37" borderId="2" xfId="0" applyFont="1" applyFill="1" applyBorder="1" applyAlignment="1">
      <alignment horizontal="center"/>
    </xf>
    <xf numFmtId="1" fontId="26" fillId="30" borderId="1" xfId="0" applyNumberFormat="1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3" fillId="6" borderId="9" xfId="0" applyFont="1" applyFill="1" applyBorder="1" applyAlignment="1">
      <alignment horizontal="center"/>
    </xf>
    <xf numFmtId="0" fontId="27" fillId="0" borderId="1" xfId="0" applyFont="1" applyBorder="1"/>
    <xf numFmtId="0" fontId="28" fillId="0" borderId="1" xfId="1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3" fillId="37" borderId="48" xfId="0" applyFont="1" applyFill="1" applyBorder="1" applyAlignment="1">
      <alignment horizontal="center"/>
    </xf>
    <xf numFmtId="0" fontId="13" fillId="37" borderId="2" xfId="0" applyFont="1" applyFill="1" applyBorder="1" applyAlignment="1">
      <alignment horizontal="center"/>
    </xf>
    <xf numFmtId="0" fontId="0" fillId="37" borderId="2" xfId="0" applyFill="1" applyBorder="1" applyAlignment="1">
      <alignment horizontal="center"/>
    </xf>
    <xf numFmtId="21" fontId="0" fillId="37" borderId="2" xfId="0" applyNumberFormat="1" applyFill="1" applyBorder="1" applyAlignment="1">
      <alignment horizontal="center"/>
    </xf>
    <xf numFmtId="0" fontId="0" fillId="37" borderId="26" xfId="0" applyFill="1" applyBorder="1" applyAlignment="1">
      <alignment horizontal="center"/>
    </xf>
    <xf numFmtId="21" fontId="0" fillId="37" borderId="26" xfId="0" applyNumberFormat="1" applyFill="1" applyBorder="1" applyAlignment="1">
      <alignment horizontal="center"/>
    </xf>
    <xf numFmtId="1" fontId="13" fillId="37" borderId="1" xfId="0" applyNumberFormat="1" applyFont="1" applyFill="1" applyBorder="1" applyAlignment="1">
      <alignment horizontal="center"/>
    </xf>
    <xf numFmtId="0" fontId="14" fillId="37" borderId="1" xfId="0" applyFont="1" applyFill="1" applyBorder="1" applyAlignment="1">
      <alignment horizontal="center"/>
    </xf>
    <xf numFmtId="0" fontId="0" fillId="37" borderId="1" xfId="0" applyFill="1" applyBorder="1"/>
    <xf numFmtId="2" fontId="0" fillId="8" borderId="0" xfId="0" applyNumberFormat="1" applyFill="1"/>
    <xf numFmtId="0" fontId="0" fillId="8" borderId="0" xfId="0" applyFill="1"/>
    <xf numFmtId="14" fontId="0" fillId="0" borderId="9" xfId="0" applyNumberFormat="1" applyBorder="1"/>
    <xf numFmtId="164" fontId="0" fillId="0" borderId="9" xfId="0" applyNumberFormat="1" applyBorder="1"/>
    <xf numFmtId="0" fontId="22" fillId="8" borderId="2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9" xfId="0" applyFont="1" applyBorder="1" applyAlignment="1">
      <alignment horizontal="center"/>
    </xf>
    <xf numFmtId="0" fontId="22" fillId="35" borderId="2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7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20" fontId="0" fillId="0" borderId="11" xfId="0" applyNumberFormat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35" borderId="48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0" borderId="1" xfId="0" applyFont="1" applyBorder="1"/>
    <xf numFmtId="0" fontId="22" fillId="2" borderId="50" xfId="0" applyFont="1" applyFill="1" applyBorder="1" applyAlignment="1">
      <alignment horizontal="center"/>
    </xf>
    <xf numFmtId="0" fontId="25" fillId="34" borderId="46" xfId="0" applyFont="1" applyFill="1" applyBorder="1" applyAlignment="1">
      <alignment horizontal="center"/>
    </xf>
    <xf numFmtId="0" fontId="2" fillId="30" borderId="50" xfId="0" applyFont="1" applyFill="1" applyBorder="1" applyAlignment="1">
      <alignment horizontal="center"/>
    </xf>
    <xf numFmtId="0" fontId="22" fillId="33" borderId="46" xfId="0" applyFont="1" applyFill="1" applyBorder="1" applyAlignment="1">
      <alignment horizontal="center"/>
    </xf>
    <xf numFmtId="0" fontId="22" fillId="35" borderId="46" xfId="0" applyFont="1" applyFill="1" applyBorder="1" applyAlignment="1">
      <alignment horizontal="center"/>
    </xf>
    <xf numFmtId="0" fontId="23" fillId="7" borderId="75" xfId="0" applyFont="1" applyFill="1" applyBorder="1"/>
    <xf numFmtId="0" fontId="22" fillId="0" borderId="76" xfId="0" applyFont="1" applyBorder="1"/>
    <xf numFmtId="0" fontId="2" fillId="0" borderId="76" xfId="0" applyFont="1" applyBorder="1"/>
    <xf numFmtId="0" fontId="22" fillId="0" borderId="77" xfId="0" applyFont="1" applyBorder="1"/>
    <xf numFmtId="0" fontId="22" fillId="6" borderId="73" xfId="0" applyFont="1" applyFill="1" applyBorder="1" applyAlignment="1">
      <alignment horizontal="center"/>
    </xf>
    <xf numFmtId="0" fontId="22" fillId="0" borderId="78" xfId="0" applyFont="1" applyBorder="1"/>
    <xf numFmtId="0" fontId="24" fillId="6" borderId="72" xfId="0" applyFont="1" applyFill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36" borderId="46" xfId="0" applyFont="1" applyFill="1" applyBorder="1" applyAlignment="1">
      <alignment horizontal="center"/>
    </xf>
    <xf numFmtId="0" fontId="4" fillId="27" borderId="50" xfId="0" applyFont="1" applyFill="1" applyBorder="1" applyAlignment="1">
      <alignment horizontal="center"/>
    </xf>
    <xf numFmtId="0" fontId="22" fillId="0" borderId="73" xfId="0" applyFont="1" applyBorder="1" applyAlignment="1">
      <alignment horizontal="center"/>
    </xf>
    <xf numFmtId="0" fontId="23" fillId="7" borderId="1" xfId="0" applyFont="1" applyFill="1" applyBorder="1"/>
    <xf numFmtId="0" fontId="11" fillId="0" borderId="1" xfId="0" applyFont="1" applyBorder="1"/>
    <xf numFmtId="14" fontId="11" fillId="0" borderId="1" xfId="0" applyNumberFormat="1" applyFont="1" applyBorder="1"/>
    <xf numFmtId="0" fontId="11" fillId="0" borderId="36" xfId="0" applyFont="1" applyBorder="1"/>
    <xf numFmtId="0" fontId="11" fillId="0" borderId="41" xfId="0" applyFont="1" applyBorder="1"/>
    <xf numFmtId="0" fontId="11" fillId="0" borderId="45" xfId="0" applyFont="1" applyBorder="1"/>
    <xf numFmtId="14" fontId="11" fillId="0" borderId="33" xfId="0" applyNumberFormat="1" applyFont="1" applyBorder="1"/>
    <xf numFmtId="0" fontId="11" fillId="0" borderId="47" xfId="0" applyFont="1" applyBorder="1"/>
    <xf numFmtId="0" fontId="11" fillId="0" borderId="9" xfId="0" applyFont="1" applyBorder="1"/>
    <xf numFmtId="14" fontId="11" fillId="0" borderId="11" xfId="0" applyNumberFormat="1" applyFont="1" applyBorder="1"/>
    <xf numFmtId="0" fontId="11" fillId="0" borderId="79" xfId="0" applyFont="1" applyBorder="1"/>
    <xf numFmtId="14" fontId="11" fillId="0" borderId="41" xfId="0" applyNumberFormat="1" applyFont="1" applyBorder="1"/>
    <xf numFmtId="0" fontId="10" fillId="0" borderId="45" xfId="0" applyFont="1" applyBorder="1"/>
    <xf numFmtId="0" fontId="12" fillId="0" borderId="45" xfId="0" applyFont="1" applyBorder="1"/>
    <xf numFmtId="0" fontId="11" fillId="0" borderId="58" xfId="0" applyFont="1" applyBorder="1"/>
    <xf numFmtId="0" fontId="11" fillId="0" borderId="79" xfId="0" applyFont="1" applyBorder="1" applyAlignment="1">
      <alignment wrapText="1"/>
    </xf>
    <xf numFmtId="0" fontId="11" fillId="0" borderId="33" xfId="0" applyFont="1" applyBorder="1"/>
    <xf numFmtId="0" fontId="30" fillId="40" borderId="35" xfId="0" applyFont="1" applyFill="1" applyBorder="1" applyAlignment="1">
      <alignment horizontal="center" vertical="center" wrapText="1"/>
    </xf>
    <xf numFmtId="0" fontId="30" fillId="40" borderId="9" xfId="0" applyFont="1" applyFill="1" applyBorder="1" applyAlignment="1">
      <alignment horizontal="center" vertical="center" wrapText="1"/>
    </xf>
    <xf numFmtId="0" fontId="30" fillId="40" borderId="58" xfId="0" applyFont="1" applyFill="1" applyBorder="1" applyAlignment="1">
      <alignment horizontal="center" vertical="center" wrapText="1"/>
    </xf>
    <xf numFmtId="14" fontId="0" fillId="0" borderId="33" xfId="0" applyNumberFormat="1" applyBorder="1"/>
    <xf numFmtId="14" fontId="19" fillId="0" borderId="33" xfId="0" applyNumberFormat="1" applyFont="1" applyBorder="1"/>
    <xf numFmtId="0" fontId="10" fillId="0" borderId="58" xfId="0" applyFont="1" applyBorder="1" applyAlignment="1">
      <alignment horizontal="center"/>
    </xf>
    <xf numFmtId="0" fontId="22" fillId="8" borderId="49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5" fillId="34" borderId="1" xfId="0" applyFont="1" applyFill="1" applyBorder="1" applyAlignment="1">
      <alignment horizontal="center"/>
    </xf>
    <xf numFmtId="0" fontId="22" fillId="33" borderId="1" xfId="0" applyFont="1" applyFill="1" applyBorder="1" applyAlignment="1">
      <alignment horizontal="center"/>
    </xf>
    <xf numFmtId="0" fontId="22" fillId="37" borderId="1" xfId="0" applyFont="1" applyFill="1" applyBorder="1" applyAlignment="1">
      <alignment horizontal="center"/>
    </xf>
    <xf numFmtId="0" fontId="22" fillId="36" borderId="1" xfId="0" applyFont="1" applyFill="1" applyBorder="1" applyAlignment="1">
      <alignment horizontal="center"/>
    </xf>
    <xf numFmtId="0" fontId="22" fillId="35" borderId="1" xfId="0" applyFont="1" applyFill="1" applyBorder="1" applyAlignment="1">
      <alignment horizontal="center"/>
    </xf>
    <xf numFmtId="0" fontId="22" fillId="6" borderId="56" xfId="0" applyFont="1" applyFill="1" applyBorder="1" applyAlignment="1">
      <alignment horizontal="center"/>
    </xf>
    <xf numFmtId="0" fontId="25" fillId="34" borderId="48" xfId="0" applyFont="1" applyFill="1" applyBorder="1" applyAlignment="1">
      <alignment horizontal="center"/>
    </xf>
    <xf numFmtId="0" fontId="22" fillId="35" borderId="62" xfId="0" applyFont="1" applyFill="1" applyBorder="1" applyAlignment="1">
      <alignment horizontal="center"/>
    </xf>
    <xf numFmtId="0" fontId="22" fillId="2" borderId="49" xfId="0" applyFont="1" applyFill="1" applyBorder="1" applyAlignment="1">
      <alignment horizontal="center"/>
    </xf>
    <xf numFmtId="0" fontId="2" fillId="30" borderId="49" xfId="0" applyFont="1" applyFill="1" applyBorder="1" applyAlignment="1">
      <alignment horizontal="center"/>
    </xf>
    <xf numFmtId="0" fontId="22" fillId="33" borderId="48" xfId="0" applyFont="1" applyFill="1" applyBorder="1" applyAlignment="1">
      <alignment horizontal="center"/>
    </xf>
    <xf numFmtId="0" fontId="22" fillId="6" borderId="32" xfId="0" applyFont="1" applyFill="1" applyBorder="1" applyAlignment="1">
      <alignment horizontal="center"/>
    </xf>
    <xf numFmtId="0" fontId="25" fillId="34" borderId="37" xfId="0" applyFont="1" applyFill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" fillId="30" borderId="37" xfId="0" applyFont="1" applyFill="1" applyBorder="1" applyAlignment="1">
      <alignment horizontal="center"/>
    </xf>
    <xf numFmtId="0" fontId="22" fillId="2" borderId="37" xfId="0" applyFont="1" applyFill="1" applyBorder="1" applyAlignment="1">
      <alignment horizontal="center"/>
    </xf>
    <xf numFmtId="0" fontId="22" fillId="35" borderId="37" xfId="0" applyFont="1" applyFill="1" applyBorder="1" applyAlignment="1">
      <alignment horizontal="center"/>
    </xf>
    <xf numFmtId="0" fontId="22" fillId="33" borderId="37" xfId="0" applyFont="1" applyFill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2" fillId="8" borderId="37" xfId="0" applyFont="1" applyFill="1" applyBorder="1" applyAlignment="1">
      <alignment horizontal="center"/>
    </xf>
    <xf numFmtId="0" fontId="22" fillId="6" borderId="80" xfId="0" applyFont="1" applyFill="1" applyBorder="1" applyAlignment="1">
      <alignment horizontal="center"/>
    </xf>
    <xf numFmtId="0" fontId="25" fillId="34" borderId="11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" fillId="30" borderId="11" xfId="0" applyFont="1" applyFill="1" applyBorder="1" applyAlignment="1">
      <alignment horizontal="center"/>
    </xf>
    <xf numFmtId="0" fontId="22" fillId="33" borderId="11" xfId="0" applyFont="1" applyFill="1" applyBorder="1" applyAlignment="1">
      <alignment horizontal="center"/>
    </xf>
    <xf numFmtId="0" fontId="22" fillId="37" borderId="11" xfId="0" applyFont="1" applyFill="1" applyBorder="1" applyAlignment="1">
      <alignment horizontal="center"/>
    </xf>
    <xf numFmtId="0" fontId="22" fillId="0" borderId="79" xfId="0" applyFont="1" applyBorder="1" applyAlignment="1">
      <alignment horizontal="center"/>
    </xf>
    <xf numFmtId="0" fontId="22" fillId="0" borderId="64" xfId="0" applyFont="1" applyBorder="1" applyAlignment="1">
      <alignment horizontal="center"/>
    </xf>
    <xf numFmtId="0" fontId="22" fillId="0" borderId="65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3" fillId="6" borderId="36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81" xfId="0" applyFont="1" applyBorder="1"/>
    <xf numFmtId="0" fontId="22" fillId="0" borderId="82" xfId="0" applyFont="1" applyBorder="1"/>
    <xf numFmtId="0" fontId="2" fillId="0" borderId="82" xfId="0" applyFont="1" applyBorder="1"/>
    <xf numFmtId="0" fontId="22" fillId="0" borderId="83" xfId="0" applyFont="1" applyBorder="1"/>
    <xf numFmtId="0" fontId="23" fillId="41" borderId="84" xfId="0" applyFont="1" applyFill="1" applyBorder="1"/>
    <xf numFmtId="0" fontId="2" fillId="13" borderId="49" xfId="0" applyFont="1" applyFill="1" applyBorder="1" applyAlignment="1">
      <alignment horizontal="center"/>
    </xf>
    <xf numFmtId="0" fontId="2" fillId="13" borderId="61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/>
    </xf>
    <xf numFmtId="0" fontId="22" fillId="13" borderId="49" xfId="0" applyFont="1" applyFill="1" applyBorder="1" applyAlignment="1">
      <alignment horizontal="center"/>
    </xf>
    <xf numFmtId="0" fontId="22" fillId="13" borderId="61" xfId="0" applyFont="1" applyFill="1" applyBorder="1" applyAlignment="1">
      <alignment horizontal="center"/>
    </xf>
    <xf numFmtId="0" fontId="22" fillId="13" borderId="50" xfId="0" applyFont="1" applyFill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" fillId="9" borderId="7" xfId="0" applyFont="1" applyFill="1" applyBorder="1" applyAlignment="1">
      <alignment horizontal="left"/>
    </xf>
    <xf numFmtId="0" fontId="2" fillId="9" borderId="16" xfId="0" applyFont="1" applyFill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4" fillId="8" borderId="17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13" fillId="10" borderId="48" xfId="0" applyFont="1" applyFill="1" applyBorder="1" applyAlignment="1">
      <alignment horizontal="center"/>
    </xf>
    <xf numFmtId="0" fontId="13" fillId="10" borderId="46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26" xfId="0" applyFont="1" applyFill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 wrapText="1"/>
    </xf>
    <xf numFmtId="0" fontId="0" fillId="10" borderId="49" xfId="0" applyFill="1" applyBorder="1" applyAlignment="1">
      <alignment horizontal="center"/>
    </xf>
    <xf numFmtId="0" fontId="0" fillId="10" borderId="50" xfId="0" applyFill="1" applyBorder="1" applyAlignment="1">
      <alignment horizontal="center"/>
    </xf>
    <xf numFmtId="0" fontId="13" fillId="19" borderId="2" xfId="0" applyFont="1" applyFill="1" applyBorder="1" applyAlignment="1">
      <alignment horizontal="center" vertical="center" wrapText="1"/>
    </xf>
    <xf numFmtId="0" fontId="13" fillId="19" borderId="26" xfId="0" applyFont="1" applyFill="1" applyBorder="1" applyAlignment="1">
      <alignment horizontal="center" vertical="center" wrapText="1"/>
    </xf>
    <xf numFmtId="2" fontId="13" fillId="19" borderId="1" xfId="0" applyNumberFormat="1" applyFont="1" applyFill="1" applyBorder="1" applyAlignment="1">
      <alignment horizontal="center" vertical="center" wrapText="1"/>
    </xf>
    <xf numFmtId="0" fontId="0" fillId="19" borderId="49" xfId="0" applyFill="1" applyBorder="1" applyAlignment="1">
      <alignment horizontal="center"/>
    </xf>
    <xf numFmtId="0" fontId="0" fillId="19" borderId="50" xfId="0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18" borderId="48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2" fontId="13" fillId="18" borderId="1" xfId="0" applyNumberFormat="1" applyFont="1" applyFill="1" applyBorder="1" applyAlignment="1">
      <alignment horizontal="center" vertical="center" wrapText="1"/>
    </xf>
    <xf numFmtId="0" fontId="0" fillId="18" borderId="49" xfId="0" applyFill="1" applyBorder="1" applyAlignment="1">
      <alignment horizontal="center"/>
    </xf>
    <xf numFmtId="0" fontId="0" fillId="18" borderId="50" xfId="0" applyFill="1" applyBorder="1" applyAlignment="1">
      <alignment horizontal="center"/>
    </xf>
    <xf numFmtId="0" fontId="13" fillId="19" borderId="48" xfId="0" applyFont="1" applyFill="1" applyBorder="1" applyAlignment="1">
      <alignment horizontal="center"/>
    </xf>
    <xf numFmtId="0" fontId="13" fillId="19" borderId="46" xfId="0" applyFont="1" applyFill="1" applyBorder="1" applyAlignment="1">
      <alignment horizontal="center"/>
    </xf>
    <xf numFmtId="0" fontId="0" fillId="14" borderId="49" xfId="0" applyFill="1" applyBorder="1" applyAlignment="1">
      <alignment horizontal="center"/>
    </xf>
    <xf numFmtId="0" fontId="0" fillId="14" borderId="50" xfId="0" applyFill="1" applyBorder="1" applyAlignment="1">
      <alignment horizontal="center"/>
    </xf>
    <xf numFmtId="0" fontId="13" fillId="20" borderId="2" xfId="0" applyFont="1" applyFill="1" applyBorder="1" applyAlignment="1">
      <alignment horizontal="center" vertical="center" wrapText="1"/>
    </xf>
    <xf numFmtId="0" fontId="13" fillId="14" borderId="48" xfId="0" applyFont="1" applyFill="1" applyBorder="1" applyAlignment="1">
      <alignment horizontal="center"/>
    </xf>
    <xf numFmtId="0" fontId="13" fillId="14" borderId="46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 vertical="center" wrapText="1"/>
    </xf>
    <xf numFmtId="0" fontId="13" fillId="14" borderId="26" xfId="0" applyFont="1" applyFill="1" applyBorder="1" applyAlignment="1">
      <alignment horizontal="center" vertical="center" wrapText="1"/>
    </xf>
    <xf numFmtId="2" fontId="13" fillId="14" borderId="1" xfId="0" applyNumberFormat="1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/>
    </xf>
    <xf numFmtId="0" fontId="13" fillId="27" borderId="2" xfId="0" applyFont="1" applyFill="1" applyBorder="1" applyAlignment="1">
      <alignment horizontal="center"/>
    </xf>
    <xf numFmtId="0" fontId="13" fillId="27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/>
    </xf>
    <xf numFmtId="0" fontId="2" fillId="9" borderId="36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13" fillId="30" borderId="2" xfId="0" applyFont="1" applyFill="1" applyBorder="1" applyAlignment="1">
      <alignment horizontal="center" vertical="center" wrapText="1"/>
    </xf>
    <xf numFmtId="0" fontId="13" fillId="30" borderId="26" xfId="0" applyFont="1" applyFill="1" applyBorder="1" applyAlignment="1">
      <alignment horizontal="center" vertical="center" wrapText="1"/>
    </xf>
    <xf numFmtId="0" fontId="13" fillId="30" borderId="48" xfId="0" applyFont="1" applyFill="1" applyBorder="1" applyAlignment="1">
      <alignment horizontal="center"/>
    </xf>
    <xf numFmtId="0" fontId="13" fillId="30" borderId="46" xfId="0" applyFont="1" applyFill="1" applyBorder="1" applyAlignment="1">
      <alignment horizontal="center"/>
    </xf>
    <xf numFmtId="2" fontId="13" fillId="30" borderId="1" xfId="0" applyNumberFormat="1" applyFont="1" applyFill="1" applyBorder="1" applyAlignment="1">
      <alignment horizontal="center" vertical="center" wrapText="1"/>
    </xf>
    <xf numFmtId="0" fontId="0" fillId="30" borderId="49" xfId="0" applyFill="1" applyBorder="1" applyAlignment="1">
      <alignment horizontal="center"/>
    </xf>
    <xf numFmtId="0" fontId="0" fillId="30" borderId="50" xfId="0" applyFill="1" applyBorder="1" applyAlignment="1">
      <alignment horizontal="center"/>
    </xf>
    <xf numFmtId="0" fontId="13" fillId="29" borderId="48" xfId="0" applyFont="1" applyFill="1" applyBorder="1" applyAlignment="1">
      <alignment horizontal="center"/>
    </xf>
    <xf numFmtId="0" fontId="13" fillId="29" borderId="46" xfId="0" applyFont="1" applyFill="1" applyBorder="1" applyAlignment="1">
      <alignment horizontal="center"/>
    </xf>
    <xf numFmtId="0" fontId="13" fillId="29" borderId="2" xfId="0" applyFont="1" applyFill="1" applyBorder="1" applyAlignment="1">
      <alignment horizontal="center" vertical="center" wrapText="1"/>
    </xf>
    <xf numFmtId="0" fontId="13" fillId="29" borderId="26" xfId="0" applyFont="1" applyFill="1" applyBorder="1" applyAlignment="1">
      <alignment horizontal="center" vertical="center" wrapText="1"/>
    </xf>
    <xf numFmtId="2" fontId="13" fillId="29" borderId="1" xfId="0" applyNumberFormat="1" applyFont="1" applyFill="1" applyBorder="1" applyAlignment="1">
      <alignment horizontal="center" vertical="center" wrapText="1"/>
    </xf>
    <xf numFmtId="0" fontId="0" fillId="29" borderId="49" xfId="0" applyFill="1" applyBorder="1" applyAlignment="1">
      <alignment horizontal="center"/>
    </xf>
    <xf numFmtId="0" fontId="0" fillId="29" borderId="50" xfId="0" applyFill="1" applyBorder="1" applyAlignment="1">
      <alignment horizontal="center"/>
    </xf>
    <xf numFmtId="0" fontId="11" fillId="16" borderId="37" xfId="0" applyFont="1" applyFill="1" applyBorder="1" applyAlignment="1">
      <alignment horizontal="center" vertical="center"/>
    </xf>
    <xf numFmtId="0" fontId="11" fillId="17" borderId="37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/>
    </xf>
    <xf numFmtId="0" fontId="5" fillId="12" borderId="4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5" xfId="0" applyBorder="1" applyAlignment="1">
      <alignment horizontal="center"/>
    </xf>
    <xf numFmtId="0" fontId="11" fillId="14" borderId="35" xfId="0" applyFont="1" applyFill="1" applyBorder="1" applyAlignment="1">
      <alignment horizontal="center" vertical="center"/>
    </xf>
    <xf numFmtId="0" fontId="11" fillId="14" borderId="55" xfId="0" applyFont="1" applyFill="1" applyBorder="1" applyAlignment="1">
      <alignment horizontal="center" vertical="center"/>
    </xf>
    <xf numFmtId="0" fontId="11" fillId="14" borderId="39" xfId="0" applyFont="1" applyFill="1" applyBorder="1" applyAlignment="1">
      <alignment horizontal="center" vertical="center"/>
    </xf>
    <xf numFmtId="0" fontId="11" fillId="15" borderId="37" xfId="0" applyFont="1" applyFill="1" applyBorder="1" applyAlignment="1">
      <alignment horizontal="center" vertical="center"/>
    </xf>
    <xf numFmtId="0" fontId="11" fillId="11" borderId="37" xfId="0" applyFont="1" applyFill="1" applyBorder="1" applyAlignment="1">
      <alignment horizontal="center" vertical="center"/>
    </xf>
    <xf numFmtId="0" fontId="11" fillId="12" borderId="37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13" borderId="37" xfId="0" applyFont="1" applyFill="1" applyBorder="1" applyAlignment="1">
      <alignment horizontal="center" vertical="center"/>
    </xf>
    <xf numFmtId="0" fontId="11" fillId="14" borderId="37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2" fillId="8" borderId="51" xfId="0" applyFont="1" applyFill="1" applyBorder="1" applyAlignment="1">
      <alignment horizontal="center"/>
    </xf>
    <xf numFmtId="0" fontId="2" fillId="8" borderId="52" xfId="0" applyFont="1" applyFill="1" applyBorder="1" applyAlignment="1">
      <alignment horizontal="center"/>
    </xf>
    <xf numFmtId="0" fontId="2" fillId="8" borderId="53" xfId="0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2" fontId="13" fillId="7" borderId="49" xfId="0" applyNumberFormat="1" applyFont="1" applyFill="1" applyBorder="1" applyAlignment="1">
      <alignment horizontal="center" vertical="center" wrapText="1"/>
    </xf>
    <xf numFmtId="2" fontId="13" fillId="7" borderId="50" xfId="0" applyNumberFormat="1" applyFont="1" applyFill="1" applyBorder="1" applyAlignment="1">
      <alignment horizontal="center" vertical="center" wrapText="1"/>
    </xf>
    <xf numFmtId="0" fontId="0" fillId="7" borderId="49" xfId="0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46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3" fillId="7" borderId="54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2" fillId="8" borderId="49" xfId="0" applyFont="1" applyFill="1" applyBorder="1" applyAlignment="1">
      <alignment horizontal="center"/>
    </xf>
    <xf numFmtId="0" fontId="2" fillId="8" borderId="61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66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67" xfId="0" applyFont="1" applyBorder="1" applyAlignment="1">
      <alignment horizontal="center"/>
    </xf>
    <xf numFmtId="0" fontId="22" fillId="8" borderId="74" xfId="0" applyFont="1" applyFill="1" applyBorder="1" applyAlignment="1">
      <alignment horizontal="center"/>
    </xf>
    <xf numFmtId="0" fontId="22" fillId="8" borderId="61" xfId="0" applyFont="1" applyFill="1" applyBorder="1" applyAlignment="1">
      <alignment horizontal="center"/>
    </xf>
    <xf numFmtId="0" fontId="22" fillId="8" borderId="50" xfId="0" applyFont="1" applyFill="1" applyBorder="1" applyAlignment="1">
      <alignment horizontal="center"/>
    </xf>
    <xf numFmtId="0" fontId="13" fillId="37" borderId="48" xfId="0" applyFont="1" applyFill="1" applyBorder="1" applyAlignment="1">
      <alignment horizontal="center"/>
    </xf>
    <xf numFmtId="0" fontId="13" fillId="37" borderId="46" xfId="0" applyFont="1" applyFill="1" applyBorder="1" applyAlignment="1">
      <alignment horizontal="center"/>
    </xf>
    <xf numFmtId="0" fontId="13" fillId="37" borderId="2" xfId="0" applyFont="1" applyFill="1" applyBorder="1" applyAlignment="1">
      <alignment horizontal="center" vertical="center" wrapText="1"/>
    </xf>
    <xf numFmtId="0" fontId="13" fillId="37" borderId="26" xfId="0" applyFont="1" applyFill="1" applyBorder="1" applyAlignment="1">
      <alignment horizontal="center" vertical="center" wrapText="1"/>
    </xf>
    <xf numFmtId="0" fontId="13" fillId="37" borderId="28" xfId="0" applyFont="1" applyFill="1" applyBorder="1" applyAlignment="1">
      <alignment horizontal="center" vertical="center" wrapText="1"/>
    </xf>
    <xf numFmtId="0" fontId="13" fillId="37" borderId="54" xfId="0" applyFont="1" applyFill="1" applyBorder="1" applyAlignment="1">
      <alignment horizontal="center" vertical="center" wrapText="1"/>
    </xf>
    <xf numFmtId="2" fontId="13" fillId="37" borderId="49" xfId="0" applyNumberFormat="1" applyFont="1" applyFill="1" applyBorder="1" applyAlignment="1">
      <alignment horizontal="center" vertical="center" wrapText="1"/>
    </xf>
    <xf numFmtId="2" fontId="13" fillId="37" borderId="50" xfId="0" applyNumberFormat="1" applyFont="1" applyFill="1" applyBorder="1" applyAlignment="1">
      <alignment horizontal="center" vertical="center" wrapText="1"/>
    </xf>
    <xf numFmtId="0" fontId="0" fillId="37" borderId="49" xfId="0" applyFill="1" applyBorder="1" applyAlignment="1">
      <alignment horizontal="center"/>
    </xf>
    <xf numFmtId="0" fontId="0" fillId="37" borderId="50" xfId="0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22" fillId="0" borderId="71" xfId="0" applyFont="1" applyBorder="1" applyAlignment="1">
      <alignment horizontal="center"/>
    </xf>
    <xf numFmtId="0" fontId="13" fillId="0" borderId="61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8" borderId="3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0" xfId="0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72" xfId="0" applyNumberFormat="1" applyBorder="1" applyAlignment="1">
      <alignment horizontal="center"/>
    </xf>
    <xf numFmtId="14" fontId="0" fillId="0" borderId="73" xfId="0" applyNumberFormat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11" fillId="0" borderId="26" xfId="0" applyNumberFormat="1" applyFont="1" applyBorder="1" applyAlignment="1">
      <alignment horizontal="center" vertical="center"/>
    </xf>
    <xf numFmtId="16" fontId="11" fillId="0" borderId="28" xfId="0" applyNumberFormat="1" applyFont="1" applyBorder="1" applyAlignment="1">
      <alignment horizontal="center" vertical="center"/>
    </xf>
    <xf numFmtId="16" fontId="11" fillId="0" borderId="29" xfId="0" applyNumberFormat="1" applyFont="1" applyBorder="1" applyAlignment="1">
      <alignment horizontal="center" vertical="center"/>
    </xf>
    <xf numFmtId="16" fontId="11" fillId="0" borderId="31" xfId="0" applyNumberFormat="1" applyFont="1" applyBorder="1" applyAlignment="1">
      <alignment horizontal="center" vertical="center"/>
    </xf>
    <xf numFmtId="0" fontId="11" fillId="13" borderId="25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11" fillId="13" borderId="21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14" borderId="25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1" fillId="14" borderId="21" xfId="0" applyFont="1" applyFill="1" applyBorder="1" applyAlignment="1">
      <alignment horizontal="center" vertical="center"/>
    </xf>
    <xf numFmtId="0" fontId="11" fillId="15" borderId="25" xfId="0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/>
    </xf>
    <xf numFmtId="0" fontId="11" fillId="15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 vertical="center"/>
    </xf>
    <xf numFmtId="0" fontId="11" fillId="12" borderId="21" xfId="0" applyFont="1" applyFill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16" fontId="11" fillId="0" borderId="68" xfId="0" applyNumberFormat="1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16" borderId="25" xfId="0" applyFont="1" applyFill="1" applyBorder="1" applyAlignment="1">
      <alignment horizontal="center" vertical="center"/>
    </xf>
    <xf numFmtId="0" fontId="11" fillId="16" borderId="27" xfId="0" applyFont="1" applyFill="1" applyBorder="1" applyAlignment="1">
      <alignment horizontal="center" vertical="center"/>
    </xf>
    <xf numFmtId="0" fontId="11" fillId="16" borderId="21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center" vertical="center"/>
    </xf>
    <xf numFmtId="0" fontId="11" fillId="17" borderId="30" xfId="0" applyFont="1" applyFill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38" borderId="35" xfId="0" applyFont="1" applyFill="1" applyBorder="1" applyAlignment="1">
      <alignment horizontal="center" vertical="center"/>
    </xf>
    <xf numFmtId="0" fontId="11" fillId="38" borderId="55" xfId="0" applyFont="1" applyFill="1" applyBorder="1" applyAlignment="1">
      <alignment horizontal="center" vertical="center"/>
    </xf>
    <xf numFmtId="0" fontId="11" fillId="38" borderId="39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 vertical="center"/>
    </xf>
    <xf numFmtId="16" fontId="11" fillId="0" borderId="9" xfId="0" applyNumberFormat="1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" fontId="11" fillId="0" borderId="11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1" fillId="39" borderId="32" xfId="0" applyFont="1" applyFill="1" applyBorder="1" applyAlignment="1">
      <alignment horizontal="center" vertical="center"/>
    </xf>
    <xf numFmtId="0" fontId="31" fillId="39" borderId="37" xfId="0" applyFont="1" applyFill="1" applyBorder="1" applyAlignment="1">
      <alignment horizontal="center" vertical="center"/>
    </xf>
    <xf numFmtId="0" fontId="31" fillId="39" borderId="40" xfId="0" applyFont="1" applyFill="1" applyBorder="1" applyAlignment="1">
      <alignment horizontal="center" vertical="center"/>
    </xf>
    <xf numFmtId="16" fontId="11" fillId="0" borderId="33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31" fillId="39" borderId="39" xfId="0" applyFont="1" applyFill="1" applyBorder="1" applyAlignment="1">
      <alignment horizontal="center" vertical="center"/>
    </xf>
    <xf numFmtId="0" fontId="31" fillId="39" borderId="35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6" fontId="11" fillId="0" borderId="41" xfId="0" applyNumberFormat="1" applyFont="1" applyBorder="1" applyAlignment="1">
      <alignment horizontal="center" vertical="center"/>
    </xf>
    <xf numFmtId="0" fontId="30" fillId="40" borderId="32" xfId="0" applyFont="1" applyFill="1" applyBorder="1" applyAlignment="1">
      <alignment horizontal="center" vertical="center"/>
    </xf>
    <xf numFmtId="0" fontId="30" fillId="40" borderId="33" xfId="0" applyFont="1" applyFill="1" applyBorder="1" applyAlignment="1">
      <alignment horizontal="center" vertical="center"/>
    </xf>
    <xf numFmtId="0" fontId="30" fillId="40" borderId="47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54662B"/>
      <color rgb="FFF7BAA3"/>
      <color rgb="FFDBCE81"/>
      <color rgb="FFFF80EC"/>
      <color rgb="FFC9B43A"/>
      <color rgb="FFEDB2A8"/>
      <color rgb="FFC09EF0"/>
      <color rgb="FF4A5778"/>
      <color rgb="FF708739"/>
      <color rgb="FF889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lina.cortes@dcsas.com.co" TargetMode="External"/><Relationship Id="rId1" Type="http://schemas.openxmlformats.org/officeDocument/2006/relationships/hyperlink" Target="mailto:dayanna.montanez@dcsa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1B13-6988-47D4-B30F-F0AE1EF1C7F8}">
  <sheetPr>
    <tabColor theme="8" tint="-0.499984740745262"/>
  </sheetPr>
  <dimension ref="B2:AD28"/>
  <sheetViews>
    <sheetView showGridLines="0" workbookViewId="0">
      <selection activeCell="B14" sqref="B14"/>
    </sheetView>
  </sheetViews>
  <sheetFormatPr defaultColWidth="11.42578125" defaultRowHeight="15"/>
  <cols>
    <col min="1" max="1" width="2.85546875" style="1" customWidth="1"/>
    <col min="2" max="2" width="56.42578125" style="1" customWidth="1"/>
    <col min="3" max="16" width="3.42578125" style="1" customWidth="1"/>
    <col min="17" max="30" width="3.7109375" style="1" customWidth="1"/>
    <col min="31" max="31" width="11.42578125" style="1"/>
    <col min="32" max="32" width="18.28515625" style="1" customWidth="1"/>
    <col min="33" max="16384" width="11.42578125" style="1"/>
  </cols>
  <sheetData>
    <row r="2" spans="2:30" ht="36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</row>
    <row r="4" spans="2:30" ht="15.75" customHeight="1">
      <c r="C4" s="50">
        <v>5</v>
      </c>
      <c r="D4" s="51">
        <v>6</v>
      </c>
      <c r="E4" s="51">
        <v>7</v>
      </c>
      <c r="F4" s="51">
        <v>8</v>
      </c>
      <c r="G4" s="51">
        <v>9</v>
      </c>
      <c r="H4" s="51">
        <v>10</v>
      </c>
      <c r="I4" s="52">
        <v>11</v>
      </c>
      <c r="J4" s="52">
        <v>12</v>
      </c>
      <c r="K4" s="53">
        <v>13</v>
      </c>
      <c r="L4" s="53">
        <v>14</v>
      </c>
      <c r="M4" s="53">
        <v>15</v>
      </c>
      <c r="N4" s="53">
        <v>16</v>
      </c>
      <c r="O4" s="53">
        <v>17</v>
      </c>
      <c r="P4" s="52">
        <v>18</v>
      </c>
      <c r="Q4" s="53">
        <v>19</v>
      </c>
      <c r="R4" s="53">
        <v>20</v>
      </c>
      <c r="S4" s="53">
        <v>21</v>
      </c>
      <c r="T4" s="53">
        <v>22</v>
      </c>
      <c r="U4" s="53">
        <v>23</v>
      </c>
      <c r="V4" s="53">
        <v>24</v>
      </c>
      <c r="W4" s="52">
        <v>25</v>
      </c>
      <c r="X4" s="53">
        <v>26</v>
      </c>
      <c r="Y4" s="53">
        <v>27</v>
      </c>
      <c r="Z4" s="53">
        <v>28</v>
      </c>
      <c r="AA4" s="53">
        <v>29</v>
      </c>
      <c r="AB4" s="53">
        <v>30</v>
      </c>
      <c r="AC4" s="53">
        <v>31</v>
      </c>
      <c r="AD4" s="54">
        <v>1</v>
      </c>
    </row>
    <row r="5" spans="2:30" ht="15.75" customHeight="1">
      <c r="B5" s="14" t="s">
        <v>1</v>
      </c>
      <c r="C5" s="55" t="s">
        <v>2</v>
      </c>
      <c r="D5" s="3" t="s">
        <v>3</v>
      </c>
      <c r="E5" s="3" t="s">
        <v>3</v>
      </c>
      <c r="F5" s="2" t="s">
        <v>4</v>
      </c>
      <c r="G5" s="2" t="s">
        <v>5</v>
      </c>
      <c r="H5" s="2" t="s">
        <v>6</v>
      </c>
      <c r="I5" s="4" t="s">
        <v>7</v>
      </c>
      <c r="J5" s="4" t="s">
        <v>2</v>
      </c>
      <c r="K5" s="5" t="s">
        <v>3</v>
      </c>
      <c r="L5" s="5" t="s">
        <v>3</v>
      </c>
      <c r="M5" s="5" t="s">
        <v>4</v>
      </c>
      <c r="N5" s="5" t="s">
        <v>5</v>
      </c>
      <c r="O5" s="5" t="s">
        <v>6</v>
      </c>
      <c r="P5" s="4" t="s">
        <v>7</v>
      </c>
      <c r="Q5" s="5" t="s">
        <v>2</v>
      </c>
      <c r="R5" s="5" t="s">
        <v>3</v>
      </c>
      <c r="S5" s="5" t="s">
        <v>3</v>
      </c>
      <c r="T5" s="5" t="s">
        <v>4</v>
      </c>
      <c r="U5" s="5" t="s">
        <v>5</v>
      </c>
      <c r="V5" s="5" t="s">
        <v>6</v>
      </c>
      <c r="W5" s="4" t="s">
        <v>7</v>
      </c>
      <c r="X5" s="5" t="s">
        <v>2</v>
      </c>
      <c r="Y5" s="5" t="s">
        <v>3</v>
      </c>
      <c r="Z5" s="5" t="s">
        <v>3</v>
      </c>
      <c r="AA5" s="5" t="s">
        <v>4</v>
      </c>
      <c r="AB5" s="5" t="s">
        <v>5</v>
      </c>
      <c r="AC5" s="5" t="s">
        <v>6</v>
      </c>
      <c r="AD5" s="4" t="s">
        <v>7</v>
      </c>
    </row>
    <row r="6" spans="2:30" ht="15.75" customHeight="1">
      <c r="B6" s="15" t="s">
        <v>8</v>
      </c>
      <c r="C6" s="57">
        <v>9</v>
      </c>
      <c r="D6" s="8">
        <v>9</v>
      </c>
      <c r="E6" s="8">
        <v>9</v>
      </c>
      <c r="F6" s="8">
        <v>9</v>
      </c>
      <c r="G6" s="8">
        <v>9</v>
      </c>
      <c r="H6" s="8">
        <v>9</v>
      </c>
      <c r="I6" s="7" t="s">
        <v>2</v>
      </c>
      <c r="J6" s="13" t="s">
        <v>2</v>
      </c>
      <c r="K6" s="8">
        <v>9</v>
      </c>
      <c r="L6" s="8">
        <v>9</v>
      </c>
      <c r="M6" s="8">
        <v>9</v>
      </c>
      <c r="N6" s="8">
        <v>9</v>
      </c>
      <c r="O6" s="9">
        <v>8</v>
      </c>
      <c r="P6" s="13" t="s">
        <v>2</v>
      </c>
      <c r="Q6" s="20">
        <v>2</v>
      </c>
      <c r="R6" s="6">
        <v>2</v>
      </c>
      <c r="S6" s="6">
        <v>2</v>
      </c>
      <c r="T6" s="6">
        <v>2</v>
      </c>
      <c r="U6" s="6">
        <v>2</v>
      </c>
      <c r="V6" s="6">
        <v>2</v>
      </c>
      <c r="W6" s="10">
        <v>11</v>
      </c>
      <c r="X6" s="107">
        <v>8</v>
      </c>
      <c r="Y6" s="108">
        <v>8</v>
      </c>
      <c r="Z6" s="108">
        <v>8</v>
      </c>
      <c r="AA6" s="108">
        <v>8</v>
      </c>
      <c r="AB6" s="108">
        <v>8</v>
      </c>
      <c r="AC6" s="108">
        <v>8</v>
      </c>
      <c r="AD6" s="56" t="s">
        <v>2</v>
      </c>
    </row>
    <row r="7" spans="2:30" ht="15.75" customHeight="1">
      <c r="B7" s="15" t="s">
        <v>9</v>
      </c>
      <c r="C7" s="57">
        <v>9</v>
      </c>
      <c r="D7" s="8">
        <v>9</v>
      </c>
      <c r="E7" s="8">
        <v>9</v>
      </c>
      <c r="F7" s="8">
        <v>9</v>
      </c>
      <c r="G7" s="9">
        <v>8</v>
      </c>
      <c r="H7" s="8">
        <v>9</v>
      </c>
      <c r="I7" s="10">
        <v>11</v>
      </c>
      <c r="J7" s="13" t="s">
        <v>2</v>
      </c>
      <c r="K7" s="8">
        <v>9</v>
      </c>
      <c r="L7" s="8">
        <v>9</v>
      </c>
      <c r="M7" s="8">
        <v>9</v>
      </c>
      <c r="N7" s="8">
        <v>9</v>
      </c>
      <c r="O7" s="13" t="s">
        <v>2</v>
      </c>
      <c r="P7" s="13" t="s">
        <v>2</v>
      </c>
      <c r="Q7" s="9">
        <v>8</v>
      </c>
      <c r="R7" s="9">
        <v>8</v>
      </c>
      <c r="S7" s="9">
        <v>8</v>
      </c>
      <c r="T7" s="9">
        <v>8</v>
      </c>
      <c r="U7" s="9">
        <v>8</v>
      </c>
      <c r="V7" s="9">
        <v>8</v>
      </c>
      <c r="W7" s="13" t="s">
        <v>2</v>
      </c>
      <c r="X7" s="109">
        <v>11</v>
      </c>
      <c r="Y7" s="109">
        <v>11</v>
      </c>
      <c r="Z7" s="109">
        <v>11</v>
      </c>
      <c r="AA7" s="109">
        <v>11</v>
      </c>
      <c r="AB7" s="109">
        <v>11</v>
      </c>
      <c r="AC7" s="109">
        <v>11</v>
      </c>
      <c r="AD7" s="121">
        <v>16</v>
      </c>
    </row>
    <row r="8" spans="2:30" ht="15.75" customHeight="1">
      <c r="B8" s="16" t="s">
        <v>10</v>
      </c>
      <c r="C8" s="58">
        <v>8</v>
      </c>
      <c r="D8" s="9">
        <v>8</v>
      </c>
      <c r="E8" s="9">
        <v>8</v>
      </c>
      <c r="F8" s="9">
        <v>8</v>
      </c>
      <c r="G8" s="9">
        <v>8</v>
      </c>
      <c r="H8" s="9">
        <v>8</v>
      </c>
      <c r="I8" s="7" t="s">
        <v>2</v>
      </c>
      <c r="J8" s="10">
        <v>11</v>
      </c>
      <c r="K8" s="9">
        <v>8</v>
      </c>
      <c r="L8" s="9">
        <v>8</v>
      </c>
      <c r="M8" s="9">
        <v>8</v>
      </c>
      <c r="N8" s="9">
        <v>8</v>
      </c>
      <c r="O8" s="9">
        <v>8</v>
      </c>
      <c r="P8" s="13" t="s">
        <v>2</v>
      </c>
      <c r="Q8" s="8">
        <v>9</v>
      </c>
      <c r="R8" s="8">
        <v>9</v>
      </c>
      <c r="S8" s="8">
        <v>9</v>
      </c>
      <c r="T8" s="8">
        <v>9</v>
      </c>
      <c r="U8" s="8">
        <v>9</v>
      </c>
      <c r="V8" s="8">
        <v>9</v>
      </c>
      <c r="W8" s="10">
        <v>10</v>
      </c>
      <c r="X8" s="110">
        <v>15</v>
      </c>
      <c r="Y8" s="110">
        <v>15</v>
      </c>
      <c r="Z8" s="110">
        <v>15</v>
      </c>
      <c r="AA8" s="110">
        <v>15</v>
      </c>
      <c r="AB8" s="110">
        <v>15</v>
      </c>
      <c r="AC8" s="110">
        <v>15</v>
      </c>
      <c r="AD8" s="56" t="s">
        <v>2</v>
      </c>
    </row>
    <row r="9" spans="2:30" ht="15.75" customHeight="1">
      <c r="B9" s="17" t="s">
        <v>11</v>
      </c>
      <c r="C9" s="58">
        <v>8</v>
      </c>
      <c r="D9" s="9">
        <v>8</v>
      </c>
      <c r="E9" s="9">
        <v>8</v>
      </c>
      <c r="F9" s="9">
        <v>8</v>
      </c>
      <c r="G9" s="8">
        <v>9</v>
      </c>
      <c r="H9" s="9">
        <v>8</v>
      </c>
      <c r="I9" s="7" t="s">
        <v>2</v>
      </c>
      <c r="J9" s="13" t="s">
        <v>2</v>
      </c>
      <c r="K9" s="9">
        <v>8</v>
      </c>
      <c r="L9" s="9">
        <v>8</v>
      </c>
      <c r="M9" s="9">
        <v>8</v>
      </c>
      <c r="N9" s="9">
        <v>8</v>
      </c>
      <c r="O9" s="8">
        <v>9</v>
      </c>
      <c r="P9" s="10">
        <v>10</v>
      </c>
      <c r="Q9" s="8">
        <v>9</v>
      </c>
      <c r="R9" s="8">
        <v>9</v>
      </c>
      <c r="S9" s="8">
        <v>9</v>
      </c>
      <c r="T9" s="8">
        <v>9</v>
      </c>
      <c r="U9" s="8">
        <v>9</v>
      </c>
      <c r="V9" s="8">
        <v>9</v>
      </c>
      <c r="W9" s="13" t="s">
        <v>2</v>
      </c>
      <c r="X9" s="120">
        <v>14</v>
      </c>
      <c r="Y9" s="120">
        <v>14</v>
      </c>
      <c r="Z9" s="120">
        <v>14</v>
      </c>
      <c r="AA9" s="120">
        <v>14</v>
      </c>
      <c r="AB9" s="120">
        <v>14</v>
      </c>
      <c r="AC9" s="120">
        <v>14</v>
      </c>
      <c r="AD9" s="56" t="s">
        <v>2</v>
      </c>
    </row>
    <row r="10" spans="2:30" ht="15.75" customHeight="1">
      <c r="B10" s="17" t="s">
        <v>12</v>
      </c>
      <c r="C10" s="57">
        <v>9</v>
      </c>
      <c r="D10" s="8">
        <v>9</v>
      </c>
      <c r="E10" s="8">
        <v>9</v>
      </c>
      <c r="F10" s="8">
        <v>9</v>
      </c>
      <c r="G10" s="8">
        <v>9</v>
      </c>
      <c r="H10" s="8">
        <v>9</v>
      </c>
      <c r="I10" s="7" t="s">
        <v>2</v>
      </c>
      <c r="J10" s="13" t="s">
        <v>2</v>
      </c>
      <c r="K10" s="8">
        <v>9</v>
      </c>
      <c r="L10" s="8">
        <v>9</v>
      </c>
      <c r="M10" s="8">
        <v>9</v>
      </c>
      <c r="N10" s="8">
        <v>9</v>
      </c>
      <c r="O10" s="8">
        <v>9</v>
      </c>
      <c r="P10" s="10">
        <v>11</v>
      </c>
      <c r="Q10" s="9">
        <v>8</v>
      </c>
      <c r="R10" s="9">
        <v>8</v>
      </c>
      <c r="S10" s="9">
        <v>8</v>
      </c>
      <c r="T10" s="9">
        <v>8</v>
      </c>
      <c r="U10" s="9">
        <v>8</v>
      </c>
      <c r="V10" s="9">
        <v>8</v>
      </c>
      <c r="W10" s="13" t="s">
        <v>2</v>
      </c>
      <c r="X10" s="112">
        <v>10</v>
      </c>
      <c r="Y10" s="112">
        <v>10</v>
      </c>
      <c r="Z10" s="112">
        <v>10</v>
      </c>
      <c r="AA10" s="112">
        <v>10</v>
      </c>
      <c r="AB10" s="112">
        <v>10</v>
      </c>
      <c r="AC10" s="112">
        <v>10</v>
      </c>
      <c r="AD10" s="56" t="s">
        <v>2</v>
      </c>
    </row>
    <row r="11" spans="2:30" ht="15.75" customHeight="1">
      <c r="B11" s="18" t="s">
        <v>13</v>
      </c>
      <c r="C11" s="59">
        <v>2</v>
      </c>
      <c r="D11" s="6">
        <v>2</v>
      </c>
      <c r="E11" s="6">
        <v>2</v>
      </c>
      <c r="F11" s="6">
        <v>2</v>
      </c>
      <c r="G11" s="6">
        <v>2</v>
      </c>
      <c r="H11" s="6">
        <v>2</v>
      </c>
      <c r="I11" s="10">
        <v>10</v>
      </c>
      <c r="J11" s="10">
        <v>10</v>
      </c>
      <c r="K11" s="6">
        <v>2</v>
      </c>
      <c r="L11" s="6">
        <v>2</v>
      </c>
      <c r="M11" s="6">
        <v>2</v>
      </c>
      <c r="N11" s="6">
        <v>2</v>
      </c>
      <c r="O11" s="6">
        <v>2</v>
      </c>
      <c r="P11" s="13" t="s">
        <v>2</v>
      </c>
      <c r="Q11" s="8">
        <v>9</v>
      </c>
      <c r="R11" s="8">
        <v>9</v>
      </c>
      <c r="S11" s="8">
        <v>9</v>
      </c>
      <c r="T11" s="8">
        <v>9</v>
      </c>
      <c r="U11" s="8">
        <v>9</v>
      </c>
      <c r="V11" s="8">
        <v>9</v>
      </c>
      <c r="W11" s="13" t="s">
        <v>2</v>
      </c>
      <c r="X11" s="111">
        <v>13</v>
      </c>
      <c r="Y11" s="111">
        <v>13</v>
      </c>
      <c r="Z11" s="111">
        <v>13</v>
      </c>
      <c r="AA11" s="111">
        <v>13</v>
      </c>
      <c r="AB11" s="111">
        <v>13</v>
      </c>
      <c r="AC11" s="111">
        <v>13</v>
      </c>
      <c r="AD11" s="122">
        <v>17</v>
      </c>
    </row>
    <row r="12" spans="2:30" ht="15.75" customHeight="1">
      <c r="B12" s="18" t="s">
        <v>14</v>
      </c>
      <c r="C12" s="59">
        <v>2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7" t="s">
        <v>15</v>
      </c>
      <c r="J12" s="13" t="s">
        <v>15</v>
      </c>
      <c r="K12" s="6">
        <v>2</v>
      </c>
      <c r="L12" s="6">
        <v>2</v>
      </c>
      <c r="M12" s="6">
        <v>2</v>
      </c>
      <c r="N12" s="6">
        <v>2</v>
      </c>
      <c r="O12" s="7" t="s">
        <v>2</v>
      </c>
      <c r="P12" s="13" t="s">
        <v>2</v>
      </c>
      <c r="Q12" s="11">
        <v>1</v>
      </c>
      <c r="R12" s="12">
        <v>1</v>
      </c>
      <c r="S12" s="12">
        <v>1</v>
      </c>
      <c r="T12" s="12">
        <v>1</v>
      </c>
      <c r="U12" s="12">
        <v>1</v>
      </c>
      <c r="V12" s="13" t="s">
        <v>15</v>
      </c>
      <c r="W12" s="13" t="s">
        <v>15</v>
      </c>
      <c r="X12" s="113">
        <v>1</v>
      </c>
      <c r="Y12" s="114">
        <v>1</v>
      </c>
      <c r="Z12" s="114">
        <v>1</v>
      </c>
      <c r="AA12" s="114">
        <v>1</v>
      </c>
      <c r="AB12" s="114">
        <v>1</v>
      </c>
      <c r="AC12" s="115" t="s">
        <v>15</v>
      </c>
      <c r="AD12" s="56" t="s">
        <v>15</v>
      </c>
    </row>
    <row r="13" spans="2:30" ht="15.75" customHeight="1">
      <c r="B13" s="18" t="s">
        <v>16</v>
      </c>
      <c r="C13" s="60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7" t="s">
        <v>15</v>
      </c>
      <c r="J13" s="13" t="s">
        <v>15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3" t="s">
        <v>15</v>
      </c>
      <c r="Q13" s="6">
        <v>2</v>
      </c>
      <c r="R13" s="6">
        <v>2</v>
      </c>
      <c r="S13" s="6">
        <v>2</v>
      </c>
      <c r="T13" s="6">
        <v>2</v>
      </c>
      <c r="U13" s="6">
        <v>2</v>
      </c>
      <c r="V13" s="7" t="s">
        <v>2</v>
      </c>
      <c r="W13" s="13" t="s">
        <v>2</v>
      </c>
      <c r="X13" s="116">
        <v>2</v>
      </c>
      <c r="Y13" s="116">
        <v>2</v>
      </c>
      <c r="Z13" s="116">
        <v>2</v>
      </c>
      <c r="AA13" s="116">
        <v>2</v>
      </c>
      <c r="AB13" s="116">
        <v>2</v>
      </c>
      <c r="AC13" s="115" t="s">
        <v>15</v>
      </c>
      <c r="AD13" s="56" t="s">
        <v>15</v>
      </c>
    </row>
    <row r="14" spans="2:30" ht="15.75" customHeight="1">
      <c r="B14" s="19" t="s">
        <v>17</v>
      </c>
      <c r="C14" s="61">
        <v>2</v>
      </c>
      <c r="D14" s="62">
        <v>2</v>
      </c>
      <c r="E14" s="62">
        <v>2</v>
      </c>
      <c r="F14" s="62">
        <v>2</v>
      </c>
      <c r="G14" s="62">
        <v>2</v>
      </c>
      <c r="H14" s="62">
        <v>2</v>
      </c>
      <c r="I14" s="63" t="s">
        <v>15</v>
      </c>
      <c r="J14" s="64" t="s">
        <v>15</v>
      </c>
      <c r="K14" s="62">
        <v>2</v>
      </c>
      <c r="L14" s="62">
        <v>2</v>
      </c>
      <c r="M14" s="62">
        <v>2</v>
      </c>
      <c r="N14" s="62">
        <v>2</v>
      </c>
      <c r="O14" s="63" t="s">
        <v>2</v>
      </c>
      <c r="P14" s="64" t="s">
        <v>2</v>
      </c>
      <c r="Q14" s="65">
        <v>1</v>
      </c>
      <c r="R14" s="66">
        <v>1</v>
      </c>
      <c r="S14" s="66">
        <v>1</v>
      </c>
      <c r="T14" s="66">
        <v>1</v>
      </c>
      <c r="U14" s="66">
        <v>1</v>
      </c>
      <c r="V14" s="64" t="s">
        <v>15</v>
      </c>
      <c r="W14" s="64" t="s">
        <v>15</v>
      </c>
      <c r="X14" s="117">
        <v>1</v>
      </c>
      <c r="Y14" s="118">
        <v>1</v>
      </c>
      <c r="Z14" s="118">
        <v>1</v>
      </c>
      <c r="AA14" s="118">
        <v>1</v>
      </c>
      <c r="AB14" s="118">
        <v>1</v>
      </c>
      <c r="AC14" s="119" t="s">
        <v>15</v>
      </c>
      <c r="AD14" s="67" t="s">
        <v>15</v>
      </c>
    </row>
    <row r="16" spans="2:30" ht="15.75" thickBot="1">
      <c r="C16" s="406" t="s">
        <v>18</v>
      </c>
      <c r="D16" s="407"/>
      <c r="E16" s="40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7"/>
      <c r="AD16" s="408"/>
    </row>
    <row r="17" spans="2:30" ht="15.75" thickBot="1"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2:30" ht="15.75" thickBot="1">
      <c r="C18" s="27">
        <v>5</v>
      </c>
      <c r="D18" s="28">
        <v>6</v>
      </c>
      <c r="E18" s="28">
        <v>7</v>
      </c>
      <c r="F18" s="28">
        <v>8</v>
      </c>
      <c r="G18" s="28">
        <v>9</v>
      </c>
      <c r="H18" s="28">
        <v>10</v>
      </c>
      <c r="I18" s="29">
        <v>11</v>
      </c>
      <c r="J18" s="29">
        <v>12</v>
      </c>
      <c r="K18" s="30">
        <v>13</v>
      </c>
      <c r="L18" s="30">
        <v>14</v>
      </c>
      <c r="M18" s="30">
        <v>15</v>
      </c>
      <c r="N18" s="30">
        <v>16</v>
      </c>
      <c r="O18" s="30">
        <v>17</v>
      </c>
      <c r="P18" s="29">
        <v>18</v>
      </c>
      <c r="Q18" s="30">
        <v>19</v>
      </c>
      <c r="R18" s="30">
        <v>20</v>
      </c>
      <c r="S18" s="30">
        <v>21</v>
      </c>
      <c r="T18" s="30">
        <v>22</v>
      </c>
      <c r="U18" s="30">
        <v>23</v>
      </c>
      <c r="V18" s="30">
        <v>24</v>
      </c>
      <c r="W18" s="29">
        <v>25</v>
      </c>
      <c r="X18" s="30">
        <v>26</v>
      </c>
      <c r="Y18" s="30">
        <v>27</v>
      </c>
      <c r="Z18" s="30">
        <v>28</v>
      </c>
      <c r="AA18" s="30">
        <v>29</v>
      </c>
      <c r="AB18" s="30">
        <v>30</v>
      </c>
      <c r="AC18" s="30">
        <v>31</v>
      </c>
      <c r="AD18" s="31">
        <v>25</v>
      </c>
    </row>
    <row r="19" spans="2:30">
      <c r="B19" s="14" t="s">
        <v>1</v>
      </c>
      <c r="C19" s="32" t="s">
        <v>2</v>
      </c>
      <c r="D19" s="7" t="s">
        <v>3</v>
      </c>
      <c r="E19" s="7" t="s">
        <v>3</v>
      </c>
      <c r="F19" s="24" t="s">
        <v>4</v>
      </c>
      <c r="G19" s="24" t="s">
        <v>5</v>
      </c>
      <c r="H19" s="24" t="s">
        <v>6</v>
      </c>
      <c r="I19" s="25" t="s">
        <v>7</v>
      </c>
      <c r="J19" s="25" t="s">
        <v>2</v>
      </c>
      <c r="K19" s="26" t="s">
        <v>3</v>
      </c>
      <c r="L19" s="26" t="s">
        <v>3</v>
      </c>
      <c r="M19" s="26" t="s">
        <v>4</v>
      </c>
      <c r="N19" s="26" t="s">
        <v>5</v>
      </c>
      <c r="O19" s="26" t="s">
        <v>6</v>
      </c>
      <c r="P19" s="25" t="s">
        <v>7</v>
      </c>
      <c r="Q19" s="26" t="s">
        <v>2</v>
      </c>
      <c r="R19" s="26" t="s">
        <v>3</v>
      </c>
      <c r="S19" s="26" t="s">
        <v>3</v>
      </c>
      <c r="T19" s="26" t="s">
        <v>4</v>
      </c>
      <c r="U19" s="26" t="s">
        <v>5</v>
      </c>
      <c r="V19" s="26" t="s">
        <v>6</v>
      </c>
      <c r="W19" s="25" t="s">
        <v>7</v>
      </c>
      <c r="X19" s="26" t="s">
        <v>2</v>
      </c>
      <c r="Y19" s="26" t="s">
        <v>3</v>
      </c>
      <c r="Z19" s="26" t="s">
        <v>3</v>
      </c>
      <c r="AA19" s="26" t="s">
        <v>4</v>
      </c>
      <c r="AB19" s="26" t="s">
        <v>5</v>
      </c>
      <c r="AC19" s="26" t="s">
        <v>6</v>
      </c>
      <c r="AD19" s="33">
        <v>1</v>
      </c>
    </row>
    <row r="20" spans="2:30">
      <c r="B20" s="15" t="s">
        <v>8</v>
      </c>
      <c r="C20" s="409" t="s">
        <v>19</v>
      </c>
      <c r="D20" s="410"/>
      <c r="E20" s="410"/>
      <c r="F20" s="410"/>
      <c r="G20" s="410"/>
      <c r="H20" s="410"/>
      <c r="I20" s="7" t="s">
        <v>2</v>
      </c>
      <c r="J20" s="7" t="s">
        <v>2</v>
      </c>
      <c r="K20" s="411" t="s">
        <v>19</v>
      </c>
      <c r="L20" s="411"/>
      <c r="M20" s="411"/>
      <c r="N20" s="411"/>
      <c r="O20" s="411"/>
      <c r="P20" s="7" t="s">
        <v>2</v>
      </c>
      <c r="Q20" s="410" t="s">
        <v>20</v>
      </c>
      <c r="R20" s="410"/>
      <c r="S20" s="410"/>
      <c r="T20" s="410"/>
      <c r="U20" s="410"/>
      <c r="V20" s="410"/>
      <c r="W20" s="10">
        <v>10</v>
      </c>
      <c r="X20" s="410" t="s">
        <v>20</v>
      </c>
      <c r="Y20" s="410"/>
      <c r="Z20" s="410"/>
      <c r="AA20" s="410"/>
      <c r="AB20" s="410"/>
      <c r="AC20" s="410"/>
      <c r="AD20" s="34" t="s">
        <v>2</v>
      </c>
    </row>
    <row r="21" spans="2:30">
      <c r="B21" s="15" t="s">
        <v>9</v>
      </c>
      <c r="C21" s="409" t="s">
        <v>21</v>
      </c>
      <c r="D21" s="410"/>
      <c r="E21" s="410"/>
      <c r="F21" s="410"/>
      <c r="G21" s="410"/>
      <c r="H21" s="410"/>
      <c r="I21" s="10">
        <v>11</v>
      </c>
      <c r="J21" s="10">
        <v>11</v>
      </c>
      <c r="K21" s="411" t="s">
        <v>21</v>
      </c>
      <c r="L21" s="411"/>
      <c r="M21" s="411"/>
      <c r="N21" s="411"/>
      <c r="O21" s="411"/>
      <c r="P21" s="7" t="s">
        <v>2</v>
      </c>
      <c r="Q21" s="410" t="s">
        <v>22</v>
      </c>
      <c r="R21" s="410"/>
      <c r="S21" s="410"/>
      <c r="T21" s="410"/>
      <c r="U21" s="410"/>
      <c r="V21" s="410"/>
      <c r="W21" s="7" t="s">
        <v>2</v>
      </c>
      <c r="X21" s="410" t="s">
        <v>22</v>
      </c>
      <c r="Y21" s="410"/>
      <c r="Z21" s="410"/>
      <c r="AA21" s="410"/>
      <c r="AB21" s="410"/>
      <c r="AC21" s="410"/>
      <c r="AD21" s="21">
        <v>10</v>
      </c>
    </row>
    <row r="22" spans="2:30">
      <c r="B22" s="16" t="s">
        <v>10</v>
      </c>
      <c r="C22" s="409" t="s">
        <v>22</v>
      </c>
      <c r="D22" s="410"/>
      <c r="E22" s="410"/>
      <c r="F22" s="410"/>
      <c r="G22" s="410"/>
      <c r="H22" s="410"/>
      <c r="I22" s="7" t="s">
        <v>2</v>
      </c>
      <c r="J22" s="7" t="s">
        <v>2</v>
      </c>
      <c r="K22" s="411" t="s">
        <v>22</v>
      </c>
      <c r="L22" s="411"/>
      <c r="M22" s="411"/>
      <c r="N22" s="411"/>
      <c r="O22" s="411"/>
      <c r="P22" s="7" t="s">
        <v>2</v>
      </c>
      <c r="Q22" s="410" t="s">
        <v>23</v>
      </c>
      <c r="R22" s="410"/>
      <c r="S22" s="410"/>
      <c r="T22" s="410"/>
      <c r="U22" s="410"/>
      <c r="V22" s="410"/>
      <c r="W22" s="10">
        <v>11</v>
      </c>
      <c r="X22" s="410" t="s">
        <v>23</v>
      </c>
      <c r="Y22" s="410"/>
      <c r="Z22" s="410"/>
      <c r="AA22" s="410"/>
      <c r="AB22" s="410"/>
      <c r="AC22" s="410"/>
      <c r="AD22" s="34" t="s">
        <v>2</v>
      </c>
    </row>
    <row r="23" spans="2:30">
      <c r="B23" s="17" t="s">
        <v>11</v>
      </c>
      <c r="C23" s="409" t="s">
        <v>24</v>
      </c>
      <c r="D23" s="410"/>
      <c r="E23" s="410"/>
      <c r="F23" s="410"/>
      <c r="G23" s="410"/>
      <c r="H23" s="410"/>
      <c r="I23" s="7" t="s">
        <v>2</v>
      </c>
      <c r="J23" s="7" t="s">
        <v>2</v>
      </c>
      <c r="K23" s="411" t="s">
        <v>24</v>
      </c>
      <c r="L23" s="411"/>
      <c r="M23" s="411"/>
      <c r="N23" s="411"/>
      <c r="O23" s="411"/>
      <c r="P23" s="10">
        <v>10</v>
      </c>
      <c r="Q23" s="410" t="s">
        <v>19</v>
      </c>
      <c r="R23" s="410"/>
      <c r="S23" s="410"/>
      <c r="T23" s="410"/>
      <c r="U23" s="410"/>
      <c r="V23" s="410"/>
      <c r="W23" s="7" t="s">
        <v>2</v>
      </c>
      <c r="X23" s="410" t="s">
        <v>19</v>
      </c>
      <c r="Y23" s="410"/>
      <c r="Z23" s="410"/>
      <c r="AA23" s="410"/>
      <c r="AB23" s="410"/>
      <c r="AC23" s="410"/>
      <c r="AD23" s="34" t="s">
        <v>2</v>
      </c>
    </row>
    <row r="24" spans="2:30">
      <c r="B24" s="17" t="s">
        <v>12</v>
      </c>
      <c r="C24" s="409" t="s">
        <v>23</v>
      </c>
      <c r="D24" s="410"/>
      <c r="E24" s="410"/>
      <c r="F24" s="410"/>
      <c r="G24" s="410"/>
      <c r="H24" s="410"/>
      <c r="I24" s="7" t="s">
        <v>2</v>
      </c>
      <c r="J24" s="7" t="s">
        <v>2</v>
      </c>
      <c r="K24" s="411" t="s">
        <v>23</v>
      </c>
      <c r="L24" s="411"/>
      <c r="M24" s="411"/>
      <c r="N24" s="411"/>
      <c r="O24" s="411"/>
      <c r="P24" s="10">
        <v>11</v>
      </c>
      <c r="Q24" s="410" t="s">
        <v>24</v>
      </c>
      <c r="R24" s="410"/>
      <c r="S24" s="410"/>
      <c r="T24" s="410"/>
      <c r="U24" s="410"/>
      <c r="V24" s="410"/>
      <c r="W24" s="7" t="s">
        <v>2</v>
      </c>
      <c r="X24" s="410" t="s">
        <v>24</v>
      </c>
      <c r="Y24" s="410"/>
      <c r="Z24" s="410"/>
      <c r="AA24" s="410"/>
      <c r="AB24" s="410"/>
      <c r="AC24" s="410"/>
      <c r="AD24" s="34" t="s">
        <v>2</v>
      </c>
    </row>
    <row r="25" spans="2:30">
      <c r="B25" s="18" t="s">
        <v>13</v>
      </c>
      <c r="C25" s="409" t="s">
        <v>20</v>
      </c>
      <c r="D25" s="410"/>
      <c r="E25" s="410"/>
      <c r="F25" s="410"/>
      <c r="G25" s="410"/>
      <c r="H25" s="410"/>
      <c r="I25" s="10">
        <v>10</v>
      </c>
      <c r="J25" s="10">
        <v>10</v>
      </c>
      <c r="K25" s="411" t="s">
        <v>20</v>
      </c>
      <c r="L25" s="411"/>
      <c r="M25" s="411"/>
      <c r="N25" s="411"/>
      <c r="O25" s="411"/>
      <c r="P25" s="7" t="s">
        <v>2</v>
      </c>
      <c r="Q25" s="410" t="s">
        <v>21</v>
      </c>
      <c r="R25" s="410"/>
      <c r="S25" s="410"/>
      <c r="T25" s="410"/>
      <c r="U25" s="410"/>
      <c r="V25" s="410"/>
      <c r="W25" s="7" t="s">
        <v>2</v>
      </c>
      <c r="X25" s="410" t="s">
        <v>21</v>
      </c>
      <c r="Y25" s="410"/>
      <c r="Z25" s="410"/>
      <c r="AA25" s="410"/>
      <c r="AB25" s="410"/>
      <c r="AC25" s="410"/>
      <c r="AD25" s="21">
        <v>11</v>
      </c>
    </row>
    <row r="26" spans="2:30">
      <c r="B26" s="18" t="s">
        <v>14</v>
      </c>
      <c r="C26" s="409" t="s">
        <v>25</v>
      </c>
      <c r="D26" s="410"/>
      <c r="E26" s="410"/>
      <c r="F26" s="410"/>
      <c r="G26" s="410"/>
      <c r="H26" s="410"/>
      <c r="I26" s="7" t="s">
        <v>15</v>
      </c>
      <c r="J26" s="7" t="s">
        <v>15</v>
      </c>
      <c r="K26" s="411" t="s">
        <v>25</v>
      </c>
      <c r="L26" s="411"/>
      <c r="M26" s="411"/>
      <c r="N26" s="411"/>
      <c r="O26" s="411"/>
      <c r="P26" s="7" t="s">
        <v>2</v>
      </c>
      <c r="Q26" s="410" t="s">
        <v>26</v>
      </c>
      <c r="R26" s="410"/>
      <c r="S26" s="410"/>
      <c r="T26" s="410"/>
      <c r="U26" s="410"/>
      <c r="V26" s="410"/>
      <c r="W26" s="7" t="s">
        <v>15</v>
      </c>
      <c r="X26" s="410" t="s">
        <v>26</v>
      </c>
      <c r="Y26" s="410"/>
      <c r="Z26" s="410"/>
      <c r="AA26" s="410"/>
      <c r="AB26" s="410"/>
      <c r="AC26" s="410"/>
      <c r="AD26" s="34" t="s">
        <v>15</v>
      </c>
    </row>
    <row r="27" spans="2:30">
      <c r="B27" s="18" t="s">
        <v>16</v>
      </c>
      <c r="C27" s="409" t="s">
        <v>26</v>
      </c>
      <c r="D27" s="410"/>
      <c r="E27" s="410"/>
      <c r="F27" s="410"/>
      <c r="G27" s="410"/>
      <c r="H27" s="410"/>
      <c r="I27" s="7" t="s">
        <v>15</v>
      </c>
      <c r="J27" s="7" t="s">
        <v>15</v>
      </c>
      <c r="K27" s="411" t="s">
        <v>26</v>
      </c>
      <c r="L27" s="411"/>
      <c r="M27" s="411"/>
      <c r="N27" s="411"/>
      <c r="O27" s="411"/>
      <c r="P27" s="7" t="s">
        <v>15</v>
      </c>
      <c r="Q27" s="410" t="s">
        <v>27</v>
      </c>
      <c r="R27" s="410"/>
      <c r="S27" s="410"/>
      <c r="T27" s="410"/>
      <c r="U27" s="410"/>
      <c r="V27" s="410"/>
      <c r="W27" s="7" t="s">
        <v>2</v>
      </c>
      <c r="X27" s="410" t="s">
        <v>27</v>
      </c>
      <c r="Y27" s="410"/>
      <c r="Z27" s="410"/>
      <c r="AA27" s="410"/>
      <c r="AB27" s="410"/>
      <c r="AC27" s="410"/>
      <c r="AD27" s="34" t="s">
        <v>15</v>
      </c>
    </row>
    <row r="28" spans="2:30" ht="15.75" thickBot="1">
      <c r="B28" s="19" t="s">
        <v>17</v>
      </c>
      <c r="C28" s="403" t="s">
        <v>27</v>
      </c>
      <c r="D28" s="404"/>
      <c r="E28" s="404"/>
      <c r="F28" s="404"/>
      <c r="G28" s="404"/>
      <c r="H28" s="404"/>
      <c r="I28" s="22" t="s">
        <v>15</v>
      </c>
      <c r="J28" s="22" t="s">
        <v>15</v>
      </c>
      <c r="K28" s="412" t="s">
        <v>27</v>
      </c>
      <c r="L28" s="412"/>
      <c r="M28" s="412"/>
      <c r="N28" s="412"/>
      <c r="O28" s="412"/>
      <c r="P28" s="22" t="s">
        <v>2</v>
      </c>
      <c r="Q28" s="404" t="s">
        <v>25</v>
      </c>
      <c r="R28" s="404"/>
      <c r="S28" s="404"/>
      <c r="T28" s="404"/>
      <c r="U28" s="404"/>
      <c r="V28" s="404"/>
      <c r="W28" s="22" t="s">
        <v>15</v>
      </c>
      <c r="X28" s="404" t="s">
        <v>25</v>
      </c>
      <c r="Y28" s="404"/>
      <c r="Z28" s="404"/>
      <c r="AA28" s="404"/>
      <c r="AB28" s="404"/>
      <c r="AC28" s="404"/>
      <c r="AD28" s="35" t="s">
        <v>15</v>
      </c>
    </row>
  </sheetData>
  <mergeCells count="38">
    <mergeCell ref="X25:AC25"/>
    <mergeCell ref="X26:AC26"/>
    <mergeCell ref="X27:AC27"/>
    <mergeCell ref="X28:AC28"/>
    <mergeCell ref="Q24:V24"/>
    <mergeCell ref="Q25:V25"/>
    <mergeCell ref="Q27:V27"/>
    <mergeCell ref="Q26:V26"/>
    <mergeCell ref="Q28:V28"/>
    <mergeCell ref="X20:AC20"/>
    <mergeCell ref="X21:AC21"/>
    <mergeCell ref="X22:AC22"/>
    <mergeCell ref="X23:AC23"/>
    <mergeCell ref="X24:AC24"/>
    <mergeCell ref="K26:O26"/>
    <mergeCell ref="K27:O27"/>
    <mergeCell ref="K28:O28"/>
    <mergeCell ref="Q20:V20"/>
    <mergeCell ref="Q21:V21"/>
    <mergeCell ref="Q22:V22"/>
    <mergeCell ref="Q23:V23"/>
    <mergeCell ref="K23:O23"/>
    <mergeCell ref="C28:H28"/>
    <mergeCell ref="C2:AD2"/>
    <mergeCell ref="C16:AD16"/>
    <mergeCell ref="C20:H20"/>
    <mergeCell ref="C21:H21"/>
    <mergeCell ref="C22:H22"/>
    <mergeCell ref="K20:O20"/>
    <mergeCell ref="K21:O21"/>
    <mergeCell ref="K22:O22"/>
    <mergeCell ref="C23:H23"/>
    <mergeCell ref="C24:H24"/>
    <mergeCell ref="C25:H25"/>
    <mergeCell ref="C26:H26"/>
    <mergeCell ref="C27:H27"/>
    <mergeCell ref="K24:O24"/>
    <mergeCell ref="K25:O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8CA1-9FC8-41F3-8421-E9CAECC15FB7}">
  <sheetPr>
    <tabColor theme="8" tint="-0.499984740745262"/>
  </sheetPr>
  <dimension ref="B2:K44"/>
  <sheetViews>
    <sheetView topLeftCell="M12" workbookViewId="0">
      <selection activeCell="M12" sqref="M12"/>
    </sheetView>
  </sheetViews>
  <sheetFormatPr defaultRowHeight="15"/>
  <cols>
    <col min="2" max="2" width="26.140625" customWidth="1"/>
    <col min="3" max="3" width="17" customWidth="1"/>
    <col min="4" max="4" width="9.140625" bestFit="1" customWidth="1"/>
    <col min="5" max="5" width="17.85546875" customWidth="1"/>
    <col min="6" max="6" width="12.140625" bestFit="1" customWidth="1"/>
    <col min="7" max="9" width="12.5703125" bestFit="1" customWidth="1"/>
    <col min="10" max="10" width="12.140625" bestFit="1" customWidth="1"/>
    <col min="11" max="11" width="15.2851562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1">
      <c r="B18" s="80" t="s">
        <v>28</v>
      </c>
      <c r="C18" s="431" t="s">
        <v>29</v>
      </c>
      <c r="D18" s="432"/>
      <c r="E18" s="81" t="s">
        <v>30</v>
      </c>
      <c r="F18" s="81" t="s">
        <v>31</v>
      </c>
      <c r="G18" s="81" t="s">
        <v>32</v>
      </c>
      <c r="H18" s="81" t="s">
        <v>33</v>
      </c>
      <c r="I18" s="81" t="s">
        <v>34</v>
      </c>
      <c r="J18" s="81" t="s">
        <v>35</v>
      </c>
      <c r="K18" s="81" t="s">
        <v>36</v>
      </c>
    </row>
    <row r="19" spans="2:11">
      <c r="B19" s="420" t="s">
        <v>37</v>
      </c>
      <c r="C19" s="420" t="s">
        <v>48</v>
      </c>
      <c r="D19" s="82" t="s">
        <v>39</v>
      </c>
      <c r="E19" s="83">
        <v>0.25</v>
      </c>
      <c r="F19" s="83">
        <v>0.25</v>
      </c>
      <c r="G19" s="83">
        <v>0.25</v>
      </c>
      <c r="H19" s="83">
        <v>0.25</v>
      </c>
      <c r="I19" s="83">
        <v>0.25</v>
      </c>
      <c r="J19" s="83">
        <v>0.25</v>
      </c>
      <c r="K19" s="83"/>
    </row>
    <row r="20" spans="2:11">
      <c r="B20" s="420"/>
      <c r="C20" s="420"/>
      <c r="D20" s="82" t="s">
        <v>40</v>
      </c>
      <c r="E20" s="83">
        <v>0.54166666666666663</v>
      </c>
      <c r="F20" s="83">
        <v>0.54166666666666663</v>
      </c>
      <c r="G20" s="83">
        <v>0.54166666666666663</v>
      </c>
      <c r="H20" s="83">
        <v>0.54166666666666663</v>
      </c>
      <c r="I20" s="83">
        <v>0.58333333333333337</v>
      </c>
      <c r="J20" s="83">
        <v>0.58333333333333337</v>
      </c>
      <c r="K20" s="83"/>
    </row>
    <row r="21" spans="2:11">
      <c r="B21" s="420"/>
      <c r="C21" s="421"/>
      <c r="D21" s="84" t="s">
        <v>36</v>
      </c>
      <c r="E21" s="85">
        <f t="shared" ref="E21:J21" si="2">E20-E19</f>
        <v>0.29166666666666663</v>
      </c>
      <c r="F21" s="85">
        <f t="shared" si="2"/>
        <v>0.29166666666666663</v>
      </c>
      <c r="G21" s="85">
        <f t="shared" si="2"/>
        <v>0.29166666666666663</v>
      </c>
      <c r="H21" s="85">
        <f t="shared" si="2"/>
        <v>0.29166666666666663</v>
      </c>
      <c r="I21" s="85">
        <f t="shared" si="2"/>
        <v>0.33333333333333337</v>
      </c>
      <c r="J21" s="85">
        <f t="shared" si="2"/>
        <v>0.33333333333333337</v>
      </c>
      <c r="K21" s="85"/>
    </row>
    <row r="22" spans="2:11">
      <c r="B22" s="69"/>
      <c r="C22" s="422" t="s">
        <v>41</v>
      </c>
      <c r="D22" s="422"/>
      <c r="E22" s="86">
        <v>7</v>
      </c>
      <c r="F22" s="86">
        <v>7</v>
      </c>
      <c r="G22" s="86">
        <v>7</v>
      </c>
      <c r="H22" s="86">
        <v>7</v>
      </c>
      <c r="I22" s="86">
        <v>8</v>
      </c>
      <c r="J22" s="86">
        <v>8</v>
      </c>
      <c r="K22" s="86">
        <f>SUM(E22:J22)</f>
        <v>44</v>
      </c>
    </row>
    <row r="23" spans="2:11">
      <c r="C23" s="423" t="s">
        <v>44</v>
      </c>
      <c r="D23" s="424"/>
      <c r="E23" s="87" t="s">
        <v>49</v>
      </c>
      <c r="F23" s="87" t="s">
        <v>49</v>
      </c>
      <c r="G23" s="87" t="s">
        <v>49</v>
      </c>
      <c r="H23" s="87" t="s">
        <v>49</v>
      </c>
      <c r="I23" s="87" t="s">
        <v>49</v>
      </c>
      <c r="J23" s="87" t="s">
        <v>46</v>
      </c>
      <c r="K23" s="88"/>
    </row>
    <row r="26" spans="2:11">
      <c r="B26" s="71" t="s">
        <v>28</v>
      </c>
      <c r="C26" s="436" t="s">
        <v>29</v>
      </c>
      <c r="D26" s="437"/>
      <c r="E26" s="72" t="s">
        <v>30</v>
      </c>
      <c r="F26" s="72" t="s">
        <v>31</v>
      </c>
      <c r="G26" s="72" t="s">
        <v>32</v>
      </c>
      <c r="H26" s="72" t="s">
        <v>33</v>
      </c>
      <c r="I26" s="72" t="s">
        <v>34</v>
      </c>
      <c r="J26" s="72" t="s">
        <v>35</v>
      </c>
      <c r="K26" s="72" t="s">
        <v>36</v>
      </c>
    </row>
    <row r="27" spans="2:11">
      <c r="B27" s="438" t="s">
        <v>37</v>
      </c>
      <c r="C27" s="438" t="s">
        <v>50</v>
      </c>
      <c r="D27" s="73" t="s">
        <v>39</v>
      </c>
      <c r="E27" s="74">
        <v>0.54166666666666663</v>
      </c>
      <c r="F27" s="74">
        <v>0.54166666666666663</v>
      </c>
      <c r="G27" s="74">
        <v>0.58333333333333337</v>
      </c>
      <c r="H27" s="74">
        <v>0.58333333333333337</v>
      </c>
      <c r="I27" s="74">
        <v>0.58333333333333337</v>
      </c>
      <c r="J27" s="74">
        <v>0.58333333333333337</v>
      </c>
      <c r="K27" s="74"/>
    </row>
    <row r="28" spans="2:11">
      <c r="B28" s="438"/>
      <c r="C28" s="438"/>
      <c r="D28" s="73" t="s">
        <v>40</v>
      </c>
      <c r="E28" s="74">
        <v>0.875</v>
      </c>
      <c r="F28" s="74">
        <v>0.875</v>
      </c>
      <c r="G28" s="74">
        <v>0.875</v>
      </c>
      <c r="H28" s="74">
        <v>0.875</v>
      </c>
      <c r="I28" s="74">
        <v>0.875</v>
      </c>
      <c r="J28" s="74">
        <v>0.875</v>
      </c>
      <c r="K28" s="74"/>
    </row>
    <row r="29" spans="2:11">
      <c r="B29" s="438"/>
      <c r="C29" s="439"/>
      <c r="D29" s="75" t="s">
        <v>36</v>
      </c>
      <c r="E29" s="76">
        <f>E28-E27</f>
        <v>0.33333333333333337</v>
      </c>
      <c r="F29" s="76">
        <f>F28-F27</f>
        <v>0.33333333333333337</v>
      </c>
      <c r="G29" s="76">
        <f>G28-G27</f>
        <v>0.29166666666666663</v>
      </c>
      <c r="H29" s="76">
        <f>H28-H27</f>
        <v>0.29166666666666663</v>
      </c>
      <c r="I29" s="76">
        <f>I28-I27</f>
        <v>0.29166666666666663</v>
      </c>
      <c r="J29" s="76">
        <f>J28-J27</f>
        <v>0.29166666666666663</v>
      </c>
      <c r="K29" s="76"/>
    </row>
    <row r="30" spans="2:11" ht="15" customHeight="1">
      <c r="B30" s="69"/>
      <c r="C30" s="440" t="s">
        <v>41</v>
      </c>
      <c r="D30" s="440"/>
      <c r="E30" s="77">
        <v>8</v>
      </c>
      <c r="F30" s="77">
        <v>8</v>
      </c>
      <c r="G30" s="77">
        <v>7</v>
      </c>
      <c r="H30" s="77">
        <v>7</v>
      </c>
      <c r="I30" s="77">
        <v>7</v>
      </c>
      <c r="J30" s="77">
        <v>7</v>
      </c>
      <c r="K30" s="77">
        <f>SUM(E30:J30)</f>
        <v>44</v>
      </c>
    </row>
    <row r="31" spans="2:11">
      <c r="C31" s="433" t="s">
        <v>44</v>
      </c>
      <c r="D31" s="434"/>
      <c r="E31" s="78" t="s">
        <v>49</v>
      </c>
      <c r="F31" s="78" t="s">
        <v>49</v>
      </c>
      <c r="G31" s="78" t="s">
        <v>49</v>
      </c>
      <c r="H31" s="78" t="s">
        <v>49</v>
      </c>
      <c r="I31" s="78" t="s">
        <v>49</v>
      </c>
      <c r="J31" s="78" t="s">
        <v>49</v>
      </c>
      <c r="K31" s="79"/>
    </row>
    <row r="34" spans="2:6" ht="29.25">
      <c r="B34" s="128" t="s">
        <v>28</v>
      </c>
      <c r="C34" s="442" t="s">
        <v>29</v>
      </c>
      <c r="D34" s="442"/>
      <c r="E34" s="131" t="s">
        <v>51</v>
      </c>
    </row>
    <row r="35" spans="2:6">
      <c r="B35" s="443" t="s">
        <v>37</v>
      </c>
      <c r="C35" s="443" t="s">
        <v>52</v>
      </c>
      <c r="D35" s="129" t="s">
        <v>39</v>
      </c>
      <c r="E35" s="130">
        <v>0.25</v>
      </c>
    </row>
    <row r="36" spans="2:6">
      <c r="B36" s="443"/>
      <c r="C36" s="443"/>
      <c r="D36" s="129" t="s">
        <v>40</v>
      </c>
      <c r="E36" s="130">
        <v>0.58333333333333337</v>
      </c>
    </row>
    <row r="37" spans="2:6">
      <c r="B37" s="443"/>
      <c r="C37" s="443"/>
      <c r="D37" s="129" t="s">
        <v>36</v>
      </c>
      <c r="E37" s="130">
        <f>E36-E35</f>
        <v>0.33333333333333337</v>
      </c>
    </row>
    <row r="39" spans="2:6" ht="29.25">
      <c r="B39" s="106" t="s">
        <v>28</v>
      </c>
      <c r="C39" s="441" t="s">
        <v>29</v>
      </c>
      <c r="D39" s="441"/>
      <c r="E39" s="132" t="s">
        <v>51</v>
      </c>
    </row>
    <row r="40" spans="2:6">
      <c r="B40" s="435" t="s">
        <v>37</v>
      </c>
      <c r="C40" s="435" t="s">
        <v>53</v>
      </c>
      <c r="D40" s="126" t="s">
        <v>39</v>
      </c>
      <c r="E40" s="127">
        <v>0.5</v>
      </c>
    </row>
    <row r="41" spans="2:6">
      <c r="B41" s="435"/>
      <c r="C41" s="435"/>
      <c r="D41" s="126" t="s">
        <v>40</v>
      </c>
      <c r="E41" s="127">
        <v>0.83333333333333337</v>
      </c>
    </row>
    <row r="42" spans="2:6">
      <c r="B42" s="435"/>
      <c r="C42" s="435"/>
      <c r="D42" s="126" t="s">
        <v>36</v>
      </c>
      <c r="E42" s="127">
        <f>E41-E40</f>
        <v>0.33333333333333337</v>
      </c>
    </row>
    <row r="44" spans="2:6">
      <c r="F44">
        <v>12</v>
      </c>
    </row>
  </sheetData>
  <mergeCells count="26">
    <mergeCell ref="C31:D31"/>
    <mergeCell ref="B40:B42"/>
    <mergeCell ref="C40:C42"/>
    <mergeCell ref="C26:D26"/>
    <mergeCell ref="B27:B29"/>
    <mergeCell ref="C27:C29"/>
    <mergeCell ref="C30:D30"/>
    <mergeCell ref="C39:D39"/>
    <mergeCell ref="C34:D34"/>
    <mergeCell ref="B35:B37"/>
    <mergeCell ref="C35:C37"/>
    <mergeCell ref="B19:B21"/>
    <mergeCell ref="C19:C21"/>
    <mergeCell ref="C22:D22"/>
    <mergeCell ref="C23:D23"/>
    <mergeCell ref="C10:D10"/>
    <mergeCell ref="B11:B13"/>
    <mergeCell ref="C11:C13"/>
    <mergeCell ref="C14:D14"/>
    <mergeCell ref="C15:D15"/>
    <mergeCell ref="C18:D18"/>
    <mergeCell ref="C2:D2"/>
    <mergeCell ref="B3:B5"/>
    <mergeCell ref="C3:C5"/>
    <mergeCell ref="C6:D6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1B8A-7BCC-472F-BA41-72078981CB40}">
  <sheetPr>
    <tabColor theme="7" tint="-0.499984740745262"/>
  </sheetPr>
  <dimension ref="B2:AD29"/>
  <sheetViews>
    <sheetView showGridLines="0" workbookViewId="0">
      <selection activeCell="B13" sqref="B13"/>
    </sheetView>
  </sheetViews>
  <sheetFormatPr defaultRowHeight="15"/>
  <cols>
    <col min="2" max="2" width="56.42578125" customWidth="1"/>
    <col min="3" max="22" width="3.42578125" customWidth="1"/>
    <col min="23" max="30" width="3.7109375" customWidth="1"/>
  </cols>
  <sheetData>
    <row r="2" spans="2:30" ht="23.25">
      <c r="B2" s="1"/>
      <c r="C2" s="405" t="s">
        <v>54</v>
      </c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</row>
    <row r="3" spans="2:30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>
      <c r="B4" s="1"/>
      <c r="C4" s="50">
        <v>1</v>
      </c>
      <c r="D4" s="51">
        <v>2</v>
      </c>
      <c r="E4" s="51">
        <v>3</v>
      </c>
      <c r="F4" s="138">
        <v>4</v>
      </c>
      <c r="G4" s="51">
        <v>5</v>
      </c>
      <c r="H4" s="51">
        <v>6</v>
      </c>
      <c r="I4" s="138">
        <v>7</v>
      </c>
      <c r="J4" s="51">
        <v>8</v>
      </c>
      <c r="K4" s="51">
        <v>9</v>
      </c>
      <c r="L4" s="138">
        <v>10</v>
      </c>
      <c r="M4" s="51">
        <v>11</v>
      </c>
      <c r="N4" s="51">
        <v>12</v>
      </c>
      <c r="O4" s="138">
        <v>13</v>
      </c>
      <c r="P4" s="51">
        <v>14</v>
      </c>
      <c r="Q4" s="51">
        <v>15</v>
      </c>
      <c r="R4" s="138">
        <v>16</v>
      </c>
      <c r="S4" s="51">
        <v>17</v>
      </c>
      <c r="T4" s="51">
        <v>18</v>
      </c>
      <c r="U4" s="138">
        <v>19</v>
      </c>
      <c r="V4" s="51">
        <v>20</v>
      </c>
      <c r="W4" s="51">
        <v>21</v>
      </c>
      <c r="X4" s="138">
        <v>22</v>
      </c>
      <c r="Y4" s="51">
        <v>23</v>
      </c>
      <c r="Z4" s="51">
        <v>24</v>
      </c>
      <c r="AA4" s="138">
        <v>25</v>
      </c>
      <c r="AB4" s="51">
        <v>26</v>
      </c>
      <c r="AC4" s="51">
        <v>27</v>
      </c>
      <c r="AD4" s="139">
        <v>28</v>
      </c>
    </row>
    <row r="5" spans="2:30">
      <c r="B5" s="14" t="s">
        <v>1</v>
      </c>
      <c r="C5" s="140" t="s">
        <v>7</v>
      </c>
      <c r="D5" s="134" t="s">
        <v>2</v>
      </c>
      <c r="E5" s="134" t="s">
        <v>3</v>
      </c>
      <c r="F5" s="134" t="s">
        <v>3</v>
      </c>
      <c r="G5" s="134" t="s">
        <v>4</v>
      </c>
      <c r="H5" s="134" t="s">
        <v>5</v>
      </c>
      <c r="I5" s="134" t="s">
        <v>6</v>
      </c>
      <c r="J5" s="133" t="s">
        <v>7</v>
      </c>
      <c r="K5" s="134" t="s">
        <v>2</v>
      </c>
      <c r="L5" s="134" t="s">
        <v>3</v>
      </c>
      <c r="M5" s="134" t="s">
        <v>3</v>
      </c>
      <c r="N5" s="134" t="s">
        <v>4</v>
      </c>
      <c r="O5" s="134" t="s">
        <v>5</v>
      </c>
      <c r="P5" s="134" t="s">
        <v>6</v>
      </c>
      <c r="Q5" s="133" t="s">
        <v>7</v>
      </c>
      <c r="R5" s="134" t="s">
        <v>2</v>
      </c>
      <c r="S5" s="134" t="s">
        <v>3</v>
      </c>
      <c r="T5" s="134" t="s">
        <v>3</v>
      </c>
      <c r="U5" s="134" t="s">
        <v>4</v>
      </c>
      <c r="V5" s="134" t="s">
        <v>5</v>
      </c>
      <c r="W5" s="134" t="s">
        <v>6</v>
      </c>
      <c r="X5" s="133" t="s">
        <v>7</v>
      </c>
      <c r="Y5" s="134" t="s">
        <v>2</v>
      </c>
      <c r="Z5" s="134" t="s">
        <v>3</v>
      </c>
      <c r="AA5" s="134" t="s">
        <v>3</v>
      </c>
      <c r="AB5" s="134" t="s">
        <v>4</v>
      </c>
      <c r="AC5" s="134" t="s">
        <v>5</v>
      </c>
      <c r="AD5" s="141" t="s">
        <v>6</v>
      </c>
    </row>
    <row r="6" spans="2:30">
      <c r="B6" s="15" t="s">
        <v>8</v>
      </c>
      <c r="C6" s="142" t="s">
        <v>2</v>
      </c>
      <c r="D6" s="9">
        <v>3</v>
      </c>
      <c r="E6" s="9">
        <v>3</v>
      </c>
      <c r="F6" s="9">
        <v>3</v>
      </c>
      <c r="G6" s="9">
        <v>3</v>
      </c>
      <c r="H6" s="9">
        <v>3</v>
      </c>
      <c r="I6" s="9">
        <v>3</v>
      </c>
      <c r="J6" s="135">
        <v>5</v>
      </c>
      <c r="K6" s="9">
        <v>3</v>
      </c>
      <c r="L6" s="9">
        <v>3</v>
      </c>
      <c r="M6" s="9">
        <v>3</v>
      </c>
      <c r="N6" s="9">
        <v>3</v>
      </c>
      <c r="O6" s="9">
        <v>3</v>
      </c>
      <c r="P6" s="9">
        <v>3</v>
      </c>
      <c r="Q6" s="13" t="s">
        <v>2</v>
      </c>
      <c r="R6" s="9">
        <v>3</v>
      </c>
      <c r="S6" s="150">
        <v>4</v>
      </c>
      <c r="T6" s="149">
        <v>2</v>
      </c>
      <c r="U6" s="149">
        <v>2</v>
      </c>
      <c r="V6" s="150">
        <v>4</v>
      </c>
      <c r="W6" s="150">
        <v>4</v>
      </c>
      <c r="X6" s="136">
        <v>6</v>
      </c>
      <c r="Y6" s="150">
        <v>4</v>
      </c>
      <c r="Z6" s="150">
        <v>4</v>
      </c>
      <c r="AA6" s="179">
        <v>4</v>
      </c>
      <c r="AB6" s="150">
        <v>4</v>
      </c>
      <c r="AC6" s="150">
        <v>4</v>
      </c>
      <c r="AD6" s="169">
        <v>4</v>
      </c>
    </row>
    <row r="7" spans="2:30">
      <c r="B7" s="15" t="s">
        <v>9</v>
      </c>
      <c r="C7" s="143">
        <v>5</v>
      </c>
      <c r="D7" s="150">
        <v>4</v>
      </c>
      <c r="E7" s="150">
        <v>4</v>
      </c>
      <c r="F7" s="150">
        <v>4</v>
      </c>
      <c r="G7" s="150">
        <v>4</v>
      </c>
      <c r="H7" s="150">
        <v>4</v>
      </c>
      <c r="I7" s="150">
        <v>4</v>
      </c>
      <c r="J7" s="13" t="s">
        <v>2</v>
      </c>
      <c r="K7" s="150">
        <v>4</v>
      </c>
      <c r="L7" s="150">
        <v>4</v>
      </c>
      <c r="M7" s="150">
        <v>4</v>
      </c>
      <c r="N7" s="150">
        <v>4</v>
      </c>
      <c r="O7" s="150">
        <v>4</v>
      </c>
      <c r="P7" s="150">
        <v>4</v>
      </c>
      <c r="Q7" s="13" t="s">
        <v>2</v>
      </c>
      <c r="R7" s="149">
        <v>2</v>
      </c>
      <c r="S7" s="9">
        <v>3</v>
      </c>
      <c r="T7" s="150">
        <v>4</v>
      </c>
      <c r="U7" s="150">
        <v>4</v>
      </c>
      <c r="V7" s="149">
        <v>2</v>
      </c>
      <c r="W7" s="149">
        <v>2</v>
      </c>
      <c r="X7" s="13" t="s">
        <v>2</v>
      </c>
      <c r="Y7" s="149">
        <v>2</v>
      </c>
      <c r="Z7" s="149">
        <v>2</v>
      </c>
      <c r="AA7" s="149">
        <v>2</v>
      </c>
      <c r="AB7" s="149">
        <v>2</v>
      </c>
      <c r="AC7" s="149">
        <v>2</v>
      </c>
      <c r="AD7" s="170">
        <v>2</v>
      </c>
    </row>
    <row r="8" spans="2:30">
      <c r="B8" s="16" t="s">
        <v>10</v>
      </c>
      <c r="C8" s="142" t="s">
        <v>2</v>
      </c>
      <c r="D8" s="149">
        <v>2</v>
      </c>
      <c r="E8" s="150">
        <v>4</v>
      </c>
      <c r="F8" s="149">
        <v>2</v>
      </c>
      <c r="G8" s="149">
        <v>2</v>
      </c>
      <c r="H8" s="149">
        <v>2</v>
      </c>
      <c r="I8" s="149">
        <v>2</v>
      </c>
      <c r="J8" s="13" t="s">
        <v>2</v>
      </c>
      <c r="K8" s="149">
        <v>2</v>
      </c>
      <c r="L8" s="149">
        <v>2</v>
      </c>
      <c r="M8" s="149">
        <v>2</v>
      </c>
      <c r="N8" s="149">
        <v>2</v>
      </c>
      <c r="O8" s="149">
        <v>2</v>
      </c>
      <c r="P8" s="149">
        <v>2</v>
      </c>
      <c r="Q8" s="135">
        <v>5</v>
      </c>
      <c r="R8" s="9">
        <v>3</v>
      </c>
      <c r="S8" s="9">
        <v>3</v>
      </c>
      <c r="T8" s="9">
        <v>3</v>
      </c>
      <c r="U8" s="9">
        <v>3</v>
      </c>
      <c r="V8" s="9">
        <v>3</v>
      </c>
      <c r="W8" s="9">
        <v>3</v>
      </c>
      <c r="X8" s="13" t="s">
        <v>2</v>
      </c>
      <c r="Y8" s="9">
        <v>3</v>
      </c>
      <c r="Z8" s="9">
        <v>3</v>
      </c>
      <c r="AA8" s="179">
        <v>4</v>
      </c>
      <c r="AB8" s="9">
        <v>3</v>
      </c>
      <c r="AC8" s="9">
        <v>3</v>
      </c>
      <c r="AD8" s="144">
        <v>3</v>
      </c>
    </row>
    <row r="9" spans="2:30">
      <c r="B9" s="17" t="s">
        <v>11</v>
      </c>
      <c r="C9" s="142" t="s">
        <v>2</v>
      </c>
      <c r="D9" s="150">
        <v>4</v>
      </c>
      <c r="E9" s="149">
        <v>2</v>
      </c>
      <c r="F9" s="150">
        <v>4</v>
      </c>
      <c r="G9" s="150">
        <v>4</v>
      </c>
      <c r="H9" s="150">
        <v>4</v>
      </c>
      <c r="I9" s="150">
        <v>4</v>
      </c>
      <c r="J9" s="136">
        <v>6</v>
      </c>
      <c r="K9" s="150">
        <v>4</v>
      </c>
      <c r="L9" s="150">
        <v>4</v>
      </c>
      <c r="M9" s="150">
        <v>4</v>
      </c>
      <c r="N9" s="150">
        <v>4</v>
      </c>
      <c r="O9" s="150">
        <v>4</v>
      </c>
      <c r="P9" s="150">
        <v>4</v>
      </c>
      <c r="Q9" s="13" t="s">
        <v>2</v>
      </c>
      <c r="R9" s="150">
        <v>4</v>
      </c>
      <c r="S9" s="149">
        <v>2</v>
      </c>
      <c r="T9" s="9">
        <v>3</v>
      </c>
      <c r="U9" s="9">
        <v>3</v>
      </c>
      <c r="V9" s="9">
        <v>3</v>
      </c>
      <c r="W9" s="9">
        <v>3</v>
      </c>
      <c r="X9" s="135">
        <v>5</v>
      </c>
      <c r="Y9" s="9">
        <v>3</v>
      </c>
      <c r="Z9" s="9">
        <v>3</v>
      </c>
      <c r="AA9" s="9">
        <v>3</v>
      </c>
      <c r="AB9" s="9">
        <v>3</v>
      </c>
      <c r="AC9" s="9">
        <v>3</v>
      </c>
      <c r="AD9" s="144">
        <v>3</v>
      </c>
    </row>
    <row r="10" spans="2:30">
      <c r="B10" s="17" t="s">
        <v>12</v>
      </c>
      <c r="C10" s="142" t="s">
        <v>2</v>
      </c>
      <c r="D10" s="149">
        <v>2</v>
      </c>
      <c r="E10" s="149">
        <v>2</v>
      </c>
      <c r="F10" s="149">
        <v>2</v>
      </c>
      <c r="G10" s="149">
        <v>2</v>
      </c>
      <c r="H10" s="149">
        <v>2</v>
      </c>
      <c r="I10" s="149">
        <v>2</v>
      </c>
      <c r="J10" s="13" t="s">
        <v>2</v>
      </c>
      <c r="K10" s="149">
        <v>2</v>
      </c>
      <c r="L10" s="149">
        <v>2</v>
      </c>
      <c r="M10" s="149">
        <v>2</v>
      </c>
      <c r="N10" s="149">
        <v>2</v>
      </c>
      <c r="O10" s="149">
        <v>2</v>
      </c>
      <c r="P10" s="149">
        <v>2</v>
      </c>
      <c r="Q10" s="136">
        <v>6</v>
      </c>
      <c r="R10" s="150">
        <v>4</v>
      </c>
      <c r="S10" s="149">
        <v>2</v>
      </c>
      <c r="T10" s="150">
        <v>4</v>
      </c>
      <c r="U10" s="150">
        <v>4</v>
      </c>
      <c r="V10" s="150">
        <v>4</v>
      </c>
      <c r="W10" s="150">
        <v>4</v>
      </c>
      <c r="X10" s="13" t="s">
        <v>2</v>
      </c>
      <c r="Y10" s="150">
        <v>4</v>
      </c>
      <c r="Z10" s="150">
        <v>4</v>
      </c>
      <c r="AA10" s="9">
        <v>3</v>
      </c>
      <c r="AB10" s="150">
        <v>4</v>
      </c>
      <c r="AC10" s="150">
        <v>4</v>
      </c>
      <c r="AD10" s="169">
        <v>4</v>
      </c>
    </row>
    <row r="11" spans="2:30">
      <c r="B11" s="18" t="s">
        <v>13</v>
      </c>
      <c r="C11" s="145">
        <v>6</v>
      </c>
      <c r="D11" s="9">
        <v>3</v>
      </c>
      <c r="E11" s="9">
        <v>3</v>
      </c>
      <c r="F11" s="9">
        <v>3</v>
      </c>
      <c r="G11" s="9">
        <v>3</v>
      </c>
      <c r="H11" s="9">
        <v>3</v>
      </c>
      <c r="I11" s="9">
        <v>3</v>
      </c>
      <c r="J11" s="13" t="s">
        <v>2</v>
      </c>
      <c r="K11" s="9">
        <v>3</v>
      </c>
      <c r="L11" s="9">
        <v>3</v>
      </c>
      <c r="M11" s="9">
        <v>3</v>
      </c>
      <c r="N11" s="9">
        <v>3</v>
      </c>
      <c r="O11" s="9">
        <v>3</v>
      </c>
      <c r="P11" s="9">
        <v>3</v>
      </c>
      <c r="Q11" s="13" t="s">
        <v>2</v>
      </c>
      <c r="R11" s="149">
        <v>2</v>
      </c>
      <c r="S11" s="150">
        <v>4</v>
      </c>
      <c r="T11" s="149">
        <v>2</v>
      </c>
      <c r="U11" s="149">
        <v>2</v>
      </c>
      <c r="V11" s="149">
        <v>2</v>
      </c>
      <c r="W11" s="149">
        <v>2</v>
      </c>
      <c r="X11" s="13" t="s">
        <v>2</v>
      </c>
      <c r="Y11" s="149">
        <v>2</v>
      </c>
      <c r="Z11" s="149">
        <v>2</v>
      </c>
      <c r="AA11" s="149">
        <v>2</v>
      </c>
      <c r="AB11" s="149">
        <v>2</v>
      </c>
      <c r="AC11" s="149">
        <v>2</v>
      </c>
      <c r="AD11" s="170">
        <v>2</v>
      </c>
    </row>
    <row r="12" spans="2:30">
      <c r="B12" s="18" t="s">
        <v>14</v>
      </c>
      <c r="C12" s="142" t="s">
        <v>15</v>
      </c>
      <c r="D12" s="149">
        <v>2</v>
      </c>
      <c r="E12" s="149">
        <v>2</v>
      </c>
      <c r="F12" s="149">
        <v>2</v>
      </c>
      <c r="G12" s="149">
        <v>2</v>
      </c>
      <c r="H12" s="149">
        <v>2</v>
      </c>
      <c r="I12" s="13" t="s">
        <v>2</v>
      </c>
      <c r="J12" s="13" t="s">
        <v>2</v>
      </c>
      <c r="K12" s="149">
        <v>2</v>
      </c>
      <c r="L12" s="149">
        <v>2</v>
      </c>
      <c r="M12" s="149">
        <v>2</v>
      </c>
      <c r="N12" s="149">
        <v>2</v>
      </c>
      <c r="O12" s="149">
        <v>2</v>
      </c>
      <c r="P12" s="149">
        <v>2</v>
      </c>
      <c r="Q12" s="13" t="s">
        <v>2</v>
      </c>
      <c r="R12" s="137">
        <v>1</v>
      </c>
      <c r="S12" s="137">
        <v>1</v>
      </c>
      <c r="T12" s="137">
        <v>1</v>
      </c>
      <c r="U12" s="137">
        <v>1</v>
      </c>
      <c r="V12" s="137">
        <v>1</v>
      </c>
      <c r="W12" s="137">
        <v>1</v>
      </c>
      <c r="X12" s="13" t="s">
        <v>2</v>
      </c>
      <c r="Y12" s="137">
        <v>1</v>
      </c>
      <c r="Z12" s="137">
        <v>1</v>
      </c>
      <c r="AA12" s="137">
        <v>1</v>
      </c>
      <c r="AB12" s="137">
        <v>1</v>
      </c>
      <c r="AC12" s="137">
        <v>1</v>
      </c>
      <c r="AD12" s="56" t="s">
        <v>2</v>
      </c>
    </row>
    <row r="13" spans="2:30">
      <c r="B13" s="18" t="s">
        <v>16</v>
      </c>
      <c r="C13" s="142" t="s">
        <v>15</v>
      </c>
      <c r="D13" s="149">
        <v>2</v>
      </c>
      <c r="E13" s="149">
        <v>2</v>
      </c>
      <c r="F13" s="149">
        <v>2</v>
      </c>
      <c r="G13" s="149">
        <v>2</v>
      </c>
      <c r="H13" s="149">
        <v>2</v>
      </c>
      <c r="I13" s="149">
        <v>2</v>
      </c>
      <c r="J13" s="13" t="s">
        <v>2</v>
      </c>
      <c r="K13" s="149">
        <v>2</v>
      </c>
      <c r="L13" s="149">
        <v>2</v>
      </c>
      <c r="M13" s="149">
        <v>2</v>
      </c>
      <c r="N13" s="149">
        <v>2</v>
      </c>
      <c r="O13" s="149">
        <v>2</v>
      </c>
      <c r="P13" s="13" t="s">
        <v>2</v>
      </c>
      <c r="Q13" s="13" t="s">
        <v>2</v>
      </c>
      <c r="R13" s="137">
        <v>1</v>
      </c>
      <c r="S13" s="137">
        <v>1</v>
      </c>
      <c r="T13" s="137">
        <v>1</v>
      </c>
      <c r="U13" s="137">
        <v>1</v>
      </c>
      <c r="V13" s="137">
        <v>1</v>
      </c>
      <c r="W13" s="137">
        <v>1</v>
      </c>
      <c r="X13" s="13" t="s">
        <v>2</v>
      </c>
      <c r="Y13" s="137">
        <v>1</v>
      </c>
      <c r="Z13" s="137">
        <v>1</v>
      </c>
      <c r="AA13" s="137">
        <v>1</v>
      </c>
      <c r="AB13" s="137">
        <v>1</v>
      </c>
      <c r="AC13" s="137">
        <v>1</v>
      </c>
      <c r="AD13" s="146">
        <v>1</v>
      </c>
    </row>
    <row r="14" spans="2:30">
      <c r="B14" s="19" t="s">
        <v>17</v>
      </c>
      <c r="C14" s="147" t="s">
        <v>15</v>
      </c>
      <c r="D14" s="148">
        <v>1</v>
      </c>
      <c r="E14" s="148">
        <v>1</v>
      </c>
      <c r="F14" s="148">
        <v>1</v>
      </c>
      <c r="G14" s="148">
        <v>1</v>
      </c>
      <c r="H14" s="148">
        <v>1</v>
      </c>
      <c r="I14" s="64" t="s">
        <v>2</v>
      </c>
      <c r="J14" s="64" t="s">
        <v>2</v>
      </c>
      <c r="K14" s="148">
        <v>1</v>
      </c>
      <c r="L14" s="148">
        <v>1</v>
      </c>
      <c r="M14" s="148">
        <v>1</v>
      </c>
      <c r="N14" s="148">
        <v>1</v>
      </c>
      <c r="O14" s="148">
        <v>1</v>
      </c>
      <c r="P14" s="148">
        <v>1</v>
      </c>
      <c r="Q14" s="64" t="s">
        <v>2</v>
      </c>
      <c r="R14" s="171">
        <v>2</v>
      </c>
      <c r="S14" s="171">
        <v>2</v>
      </c>
      <c r="T14" s="171">
        <v>2</v>
      </c>
      <c r="U14" s="171">
        <v>2</v>
      </c>
      <c r="V14" s="171">
        <v>2</v>
      </c>
      <c r="W14" s="171">
        <v>2</v>
      </c>
      <c r="X14" s="64" t="s">
        <v>2</v>
      </c>
      <c r="Y14" s="171">
        <v>2</v>
      </c>
      <c r="Z14" s="171">
        <v>2</v>
      </c>
      <c r="AA14" s="171">
        <v>2</v>
      </c>
      <c r="AB14" s="171">
        <v>2</v>
      </c>
      <c r="AC14" s="171">
        <v>2</v>
      </c>
      <c r="AD14" s="67" t="s">
        <v>2</v>
      </c>
    </row>
    <row r="17" spans="2:30">
      <c r="B17" s="1"/>
      <c r="C17" s="406" t="s">
        <v>18</v>
      </c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407"/>
      <c r="AD17" s="408"/>
    </row>
    <row r="18" spans="2:30">
      <c r="B18" s="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2:30">
      <c r="B19" s="1"/>
      <c r="C19" s="50">
        <v>1</v>
      </c>
      <c r="D19" s="51">
        <v>2</v>
      </c>
      <c r="E19" s="51">
        <v>3</v>
      </c>
      <c r="F19" s="138">
        <v>4</v>
      </c>
      <c r="G19" s="51">
        <v>5</v>
      </c>
      <c r="H19" s="51">
        <v>6</v>
      </c>
      <c r="I19" s="138">
        <v>7</v>
      </c>
      <c r="J19" s="51">
        <v>8</v>
      </c>
      <c r="K19" s="51">
        <v>9</v>
      </c>
      <c r="L19" s="138">
        <v>10</v>
      </c>
      <c r="M19" s="51">
        <v>11</v>
      </c>
      <c r="N19" s="51">
        <v>12</v>
      </c>
      <c r="O19" s="138">
        <v>13</v>
      </c>
      <c r="P19" s="51">
        <v>14</v>
      </c>
      <c r="Q19" s="51">
        <v>15</v>
      </c>
      <c r="R19" s="138">
        <v>16</v>
      </c>
      <c r="S19" s="51">
        <v>17</v>
      </c>
      <c r="T19" s="51">
        <v>18</v>
      </c>
      <c r="U19" s="138">
        <v>19</v>
      </c>
      <c r="V19" s="51">
        <v>20</v>
      </c>
      <c r="W19" s="51">
        <v>21</v>
      </c>
      <c r="X19" s="138">
        <v>22</v>
      </c>
      <c r="Y19" s="51">
        <v>23</v>
      </c>
      <c r="Z19" s="51">
        <v>24</v>
      </c>
      <c r="AA19" s="138">
        <v>25</v>
      </c>
      <c r="AB19" s="51">
        <v>26</v>
      </c>
      <c r="AC19" s="51">
        <v>27</v>
      </c>
      <c r="AD19" s="139">
        <v>28</v>
      </c>
    </row>
    <row r="20" spans="2:30">
      <c r="B20" s="14" t="s">
        <v>1</v>
      </c>
      <c r="C20" s="140" t="s">
        <v>7</v>
      </c>
      <c r="D20" s="134" t="s">
        <v>2</v>
      </c>
      <c r="E20" s="134" t="s">
        <v>3</v>
      </c>
      <c r="F20" s="134" t="s">
        <v>3</v>
      </c>
      <c r="G20" s="134" t="s">
        <v>4</v>
      </c>
      <c r="H20" s="134" t="s">
        <v>5</v>
      </c>
      <c r="I20" s="134" t="s">
        <v>6</v>
      </c>
      <c r="J20" s="133" t="s">
        <v>7</v>
      </c>
      <c r="K20" s="134" t="s">
        <v>2</v>
      </c>
      <c r="L20" s="134" t="s">
        <v>3</v>
      </c>
      <c r="M20" s="134" t="s">
        <v>3</v>
      </c>
      <c r="N20" s="134" t="s">
        <v>4</v>
      </c>
      <c r="O20" s="134" t="s">
        <v>5</v>
      </c>
      <c r="P20" s="134" t="s">
        <v>6</v>
      </c>
      <c r="Q20" s="133" t="s">
        <v>7</v>
      </c>
      <c r="R20" s="134" t="s">
        <v>2</v>
      </c>
      <c r="S20" s="134" t="s">
        <v>3</v>
      </c>
      <c r="T20" s="134" t="s">
        <v>3</v>
      </c>
      <c r="U20" s="134" t="s">
        <v>4</v>
      </c>
      <c r="V20" s="134" t="s">
        <v>5</v>
      </c>
      <c r="W20" s="134" t="s">
        <v>6</v>
      </c>
      <c r="X20" s="133" t="s">
        <v>7</v>
      </c>
      <c r="Y20" s="134" t="s">
        <v>2</v>
      </c>
      <c r="Z20" s="134" t="s">
        <v>3</v>
      </c>
      <c r="AA20" s="134" t="s">
        <v>3</v>
      </c>
      <c r="AB20" s="134" t="s">
        <v>4</v>
      </c>
      <c r="AC20" s="134" t="s">
        <v>5</v>
      </c>
      <c r="AD20" s="141" t="s">
        <v>6</v>
      </c>
    </row>
    <row r="21" spans="2:30">
      <c r="B21" s="15" t="s">
        <v>8</v>
      </c>
      <c r="C21" s="142" t="s">
        <v>2</v>
      </c>
      <c r="D21" s="444" t="s">
        <v>22</v>
      </c>
      <c r="E21" s="444"/>
      <c r="F21" s="444"/>
      <c r="G21" s="444"/>
      <c r="H21" s="444"/>
      <c r="I21" s="444"/>
      <c r="J21" s="135">
        <v>5</v>
      </c>
      <c r="K21" s="444" t="s">
        <v>22</v>
      </c>
      <c r="L21" s="444"/>
      <c r="M21" s="444"/>
      <c r="N21" s="444"/>
      <c r="O21" s="444"/>
      <c r="P21" s="444"/>
      <c r="Q21" s="13" t="s">
        <v>2</v>
      </c>
      <c r="R21" s="444" t="s">
        <v>23</v>
      </c>
      <c r="S21" s="444"/>
      <c r="T21" s="444"/>
      <c r="U21" s="444"/>
      <c r="V21" s="444"/>
      <c r="W21" s="444"/>
      <c r="X21" s="136">
        <v>6</v>
      </c>
      <c r="Y21" s="444" t="s">
        <v>23</v>
      </c>
      <c r="Z21" s="444"/>
      <c r="AA21" s="444"/>
      <c r="AB21" s="444"/>
      <c r="AC21" s="444"/>
      <c r="AD21" s="445"/>
    </row>
    <row r="22" spans="2:30">
      <c r="B22" s="15" t="s">
        <v>9</v>
      </c>
      <c r="C22" s="143">
        <v>5</v>
      </c>
      <c r="D22" s="444" t="s">
        <v>23</v>
      </c>
      <c r="E22" s="444"/>
      <c r="F22" s="444"/>
      <c r="G22" s="444"/>
      <c r="H22" s="444"/>
      <c r="I22" s="444"/>
      <c r="J22" s="13" t="s">
        <v>2</v>
      </c>
      <c r="K22" s="444" t="s">
        <v>23</v>
      </c>
      <c r="L22" s="444"/>
      <c r="M22" s="444"/>
      <c r="N22" s="444"/>
      <c r="O22" s="444"/>
      <c r="P22" s="444"/>
      <c r="Q22" s="13" t="s">
        <v>2</v>
      </c>
      <c r="R22" s="444" t="s">
        <v>20</v>
      </c>
      <c r="S22" s="444"/>
      <c r="T22" s="444"/>
      <c r="U22" s="444"/>
      <c r="V22" s="444"/>
      <c r="W22" s="444"/>
      <c r="X22" s="13" t="s">
        <v>2</v>
      </c>
      <c r="Y22" s="444" t="s">
        <v>20</v>
      </c>
      <c r="Z22" s="444"/>
      <c r="AA22" s="444"/>
      <c r="AB22" s="444"/>
      <c r="AC22" s="444"/>
      <c r="AD22" s="445"/>
    </row>
    <row r="23" spans="2:30">
      <c r="B23" s="16" t="s">
        <v>10</v>
      </c>
      <c r="C23" s="142" t="s">
        <v>2</v>
      </c>
      <c r="D23" s="444" t="s">
        <v>20</v>
      </c>
      <c r="E23" s="444"/>
      <c r="F23" s="444"/>
      <c r="G23" s="444"/>
      <c r="H23" s="444"/>
      <c r="I23" s="444"/>
      <c r="J23" s="13" t="s">
        <v>2</v>
      </c>
      <c r="K23" s="444" t="s">
        <v>20</v>
      </c>
      <c r="L23" s="444"/>
      <c r="M23" s="444"/>
      <c r="N23" s="444"/>
      <c r="O23" s="444"/>
      <c r="P23" s="444"/>
      <c r="Q23" s="135">
        <v>5</v>
      </c>
      <c r="R23" s="444" t="s">
        <v>22</v>
      </c>
      <c r="S23" s="444"/>
      <c r="T23" s="444"/>
      <c r="U23" s="444"/>
      <c r="V23" s="444"/>
      <c r="W23" s="444"/>
      <c r="X23" s="13" t="s">
        <v>2</v>
      </c>
      <c r="Y23" s="444" t="s">
        <v>22</v>
      </c>
      <c r="Z23" s="444"/>
      <c r="AA23" s="444"/>
      <c r="AB23" s="444"/>
      <c r="AC23" s="444"/>
      <c r="AD23" s="445"/>
    </row>
    <row r="24" spans="2:30">
      <c r="B24" s="17" t="s">
        <v>11</v>
      </c>
      <c r="C24" s="142" t="s">
        <v>2</v>
      </c>
      <c r="D24" s="444" t="s">
        <v>19</v>
      </c>
      <c r="E24" s="444"/>
      <c r="F24" s="444"/>
      <c r="G24" s="444"/>
      <c r="H24" s="444"/>
      <c r="I24" s="444"/>
      <c r="J24" s="136">
        <v>6</v>
      </c>
      <c r="K24" s="444" t="s">
        <v>19</v>
      </c>
      <c r="L24" s="444"/>
      <c r="M24" s="444"/>
      <c r="N24" s="444"/>
      <c r="O24" s="444"/>
      <c r="P24" s="444"/>
      <c r="Q24" s="13" t="s">
        <v>2</v>
      </c>
      <c r="R24" s="444" t="s">
        <v>24</v>
      </c>
      <c r="S24" s="444"/>
      <c r="T24" s="444"/>
      <c r="U24" s="444"/>
      <c r="V24" s="444"/>
      <c r="W24" s="444"/>
      <c r="X24" s="135">
        <v>5</v>
      </c>
      <c r="Y24" s="444" t="s">
        <v>24</v>
      </c>
      <c r="Z24" s="444"/>
      <c r="AA24" s="444"/>
      <c r="AB24" s="444"/>
      <c r="AC24" s="444"/>
      <c r="AD24" s="445"/>
    </row>
    <row r="25" spans="2:30">
      <c r="B25" s="17" t="s">
        <v>12</v>
      </c>
      <c r="C25" s="142" t="s">
        <v>2</v>
      </c>
      <c r="D25" s="444" t="s">
        <v>55</v>
      </c>
      <c r="E25" s="444"/>
      <c r="F25" s="444"/>
      <c r="G25" s="444"/>
      <c r="H25" s="444"/>
      <c r="I25" s="444"/>
      <c r="J25" s="13" t="s">
        <v>2</v>
      </c>
      <c r="K25" s="444" t="s">
        <v>55</v>
      </c>
      <c r="L25" s="444"/>
      <c r="M25" s="444"/>
      <c r="N25" s="444"/>
      <c r="O25" s="444"/>
      <c r="P25" s="444"/>
      <c r="Q25" s="136">
        <v>6</v>
      </c>
      <c r="R25" s="444" t="s">
        <v>19</v>
      </c>
      <c r="S25" s="444"/>
      <c r="T25" s="444"/>
      <c r="U25" s="444"/>
      <c r="V25" s="444"/>
      <c r="W25" s="444"/>
      <c r="X25" s="13" t="s">
        <v>2</v>
      </c>
      <c r="Y25" s="444" t="s">
        <v>19</v>
      </c>
      <c r="Z25" s="444"/>
      <c r="AA25" s="444"/>
      <c r="AB25" s="444"/>
      <c r="AC25" s="444"/>
      <c r="AD25" s="445"/>
    </row>
    <row r="26" spans="2:30">
      <c r="B26" s="18" t="s">
        <v>13</v>
      </c>
      <c r="C26" s="145">
        <v>6</v>
      </c>
      <c r="D26" s="444" t="s">
        <v>24</v>
      </c>
      <c r="E26" s="444"/>
      <c r="F26" s="444"/>
      <c r="G26" s="444"/>
      <c r="H26" s="444"/>
      <c r="I26" s="444"/>
      <c r="J26" s="13" t="s">
        <v>2</v>
      </c>
      <c r="K26" s="444" t="s">
        <v>24</v>
      </c>
      <c r="L26" s="444"/>
      <c r="M26" s="444"/>
      <c r="N26" s="444"/>
      <c r="O26" s="444"/>
      <c r="P26" s="444"/>
      <c r="Q26" s="13" t="s">
        <v>2</v>
      </c>
      <c r="R26" s="444" t="s">
        <v>55</v>
      </c>
      <c r="S26" s="444"/>
      <c r="T26" s="444"/>
      <c r="U26" s="444"/>
      <c r="V26" s="444"/>
      <c r="W26" s="444"/>
      <c r="X26" s="13" t="s">
        <v>2</v>
      </c>
      <c r="Y26" s="444" t="s">
        <v>55</v>
      </c>
      <c r="Z26" s="444"/>
      <c r="AA26" s="444"/>
      <c r="AB26" s="444"/>
      <c r="AC26" s="444"/>
      <c r="AD26" s="445"/>
    </row>
    <row r="27" spans="2:30">
      <c r="B27" s="18" t="s">
        <v>14</v>
      </c>
      <c r="C27" s="142" t="s">
        <v>15</v>
      </c>
      <c r="D27" s="446" t="s">
        <v>25</v>
      </c>
      <c r="E27" s="446"/>
      <c r="F27" s="446"/>
      <c r="G27" s="446"/>
      <c r="H27" s="446"/>
      <c r="I27" s="446"/>
      <c r="J27" s="13" t="s">
        <v>2</v>
      </c>
      <c r="K27" s="446" t="s">
        <v>25</v>
      </c>
      <c r="L27" s="446"/>
      <c r="M27" s="446"/>
      <c r="N27" s="446"/>
      <c r="O27" s="446"/>
      <c r="P27" s="446"/>
      <c r="Q27" s="13" t="s">
        <v>2</v>
      </c>
      <c r="R27" s="446" t="s">
        <v>25</v>
      </c>
      <c r="S27" s="446"/>
      <c r="T27" s="446"/>
      <c r="U27" s="446"/>
      <c r="V27" s="446"/>
      <c r="W27" s="446"/>
      <c r="X27" s="13" t="s">
        <v>2</v>
      </c>
      <c r="Y27" s="446" t="s">
        <v>25</v>
      </c>
      <c r="Z27" s="446"/>
      <c r="AA27" s="446"/>
      <c r="AB27" s="446"/>
      <c r="AC27" s="446"/>
      <c r="AD27" s="447"/>
    </row>
    <row r="28" spans="2:30">
      <c r="B28" s="18" t="s">
        <v>16</v>
      </c>
      <c r="C28" s="142" t="s">
        <v>15</v>
      </c>
      <c r="D28" s="446" t="s">
        <v>26</v>
      </c>
      <c r="E28" s="446"/>
      <c r="F28" s="446"/>
      <c r="G28" s="446"/>
      <c r="H28" s="446"/>
      <c r="I28" s="446"/>
      <c r="J28" s="13" t="s">
        <v>2</v>
      </c>
      <c r="K28" s="446" t="s">
        <v>26</v>
      </c>
      <c r="L28" s="446"/>
      <c r="M28" s="446"/>
      <c r="N28" s="446"/>
      <c r="O28" s="446"/>
      <c r="P28" s="446"/>
      <c r="Q28" s="13" t="s">
        <v>2</v>
      </c>
      <c r="R28" s="446" t="s">
        <v>26</v>
      </c>
      <c r="S28" s="446"/>
      <c r="T28" s="446"/>
      <c r="U28" s="446"/>
      <c r="V28" s="446"/>
      <c r="W28" s="446"/>
      <c r="X28" s="13" t="s">
        <v>2</v>
      </c>
      <c r="Y28" s="446" t="s">
        <v>26</v>
      </c>
      <c r="Z28" s="446"/>
      <c r="AA28" s="446"/>
      <c r="AB28" s="446"/>
      <c r="AC28" s="446"/>
      <c r="AD28" s="447"/>
    </row>
    <row r="29" spans="2:30">
      <c r="B29" s="19" t="s">
        <v>17</v>
      </c>
      <c r="C29" s="147" t="s">
        <v>15</v>
      </c>
      <c r="D29" s="448" t="s">
        <v>27</v>
      </c>
      <c r="E29" s="448"/>
      <c r="F29" s="448"/>
      <c r="G29" s="448"/>
      <c r="H29" s="448"/>
      <c r="I29" s="448"/>
      <c r="J29" s="64" t="s">
        <v>2</v>
      </c>
      <c r="K29" s="448" t="s">
        <v>27</v>
      </c>
      <c r="L29" s="448"/>
      <c r="M29" s="448"/>
      <c r="N29" s="448"/>
      <c r="O29" s="448"/>
      <c r="P29" s="448"/>
      <c r="Q29" s="64" t="s">
        <v>2</v>
      </c>
      <c r="R29" s="448" t="s">
        <v>27</v>
      </c>
      <c r="S29" s="448"/>
      <c r="T29" s="448"/>
      <c r="U29" s="448"/>
      <c r="V29" s="448"/>
      <c r="W29" s="448"/>
      <c r="X29" s="64" t="s">
        <v>2</v>
      </c>
      <c r="Y29" s="448" t="s">
        <v>27</v>
      </c>
      <c r="Z29" s="448"/>
      <c r="AA29" s="448"/>
      <c r="AB29" s="448"/>
      <c r="AC29" s="448"/>
      <c r="AD29" s="449"/>
    </row>
  </sheetData>
  <mergeCells count="38">
    <mergeCell ref="Y26:AD26"/>
    <mergeCell ref="Y27:AD27"/>
    <mergeCell ref="Y28:AD28"/>
    <mergeCell ref="Y29:AD29"/>
    <mergeCell ref="D28:I28"/>
    <mergeCell ref="D29:I29"/>
    <mergeCell ref="K28:P28"/>
    <mergeCell ref="K29:P29"/>
    <mergeCell ref="R28:W28"/>
    <mergeCell ref="R29:W29"/>
    <mergeCell ref="D27:I27"/>
    <mergeCell ref="R25:W25"/>
    <mergeCell ref="K26:P26"/>
    <mergeCell ref="K27:P27"/>
    <mergeCell ref="R26:W26"/>
    <mergeCell ref="R27:W27"/>
    <mergeCell ref="Y24:AD24"/>
    <mergeCell ref="Y25:AD25"/>
    <mergeCell ref="D26:I26"/>
    <mergeCell ref="Y22:AD22"/>
    <mergeCell ref="Y23:AD23"/>
    <mergeCell ref="D22:I22"/>
    <mergeCell ref="D23:I23"/>
    <mergeCell ref="K22:P22"/>
    <mergeCell ref="K23:P23"/>
    <mergeCell ref="R22:W22"/>
    <mergeCell ref="R23:W23"/>
    <mergeCell ref="D24:I24"/>
    <mergeCell ref="D25:I25"/>
    <mergeCell ref="K24:P24"/>
    <mergeCell ref="K25:P25"/>
    <mergeCell ref="R24:W24"/>
    <mergeCell ref="C2:AD2"/>
    <mergeCell ref="C17:AD17"/>
    <mergeCell ref="D21:I21"/>
    <mergeCell ref="K21:P21"/>
    <mergeCell ref="R21:W21"/>
    <mergeCell ref="Y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D63A-F353-413E-A9B8-D1B7DCCAABC1}">
  <sheetPr>
    <tabColor theme="7" tint="-0.499984740745262"/>
  </sheetPr>
  <dimension ref="B2:K42"/>
  <sheetViews>
    <sheetView topLeftCell="C16" workbookViewId="0">
      <selection activeCell="I27" sqref="I27"/>
    </sheetView>
  </sheetViews>
  <sheetFormatPr defaultRowHeight="15"/>
  <cols>
    <col min="2" max="2" width="26.140625" customWidth="1"/>
    <col min="3" max="3" width="17" customWidth="1"/>
    <col min="4" max="4" width="9.140625" bestFit="1" customWidth="1"/>
    <col min="5" max="5" width="17.85546875" customWidth="1"/>
    <col min="6" max="6" width="12.140625" bestFit="1" customWidth="1"/>
    <col min="7" max="9" width="12.5703125" bestFit="1" customWidth="1"/>
    <col min="10" max="10" width="12.140625" bestFit="1" customWidth="1"/>
    <col min="11" max="11" width="15.2851562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1">
      <c r="B18" s="160" t="s">
        <v>28</v>
      </c>
      <c r="C18" s="452" t="s">
        <v>29</v>
      </c>
      <c r="D18" s="453"/>
      <c r="E18" s="161" t="s">
        <v>30</v>
      </c>
      <c r="F18" s="161" t="s">
        <v>31</v>
      </c>
      <c r="G18" s="161" t="s">
        <v>32</v>
      </c>
      <c r="H18" s="161" t="s">
        <v>33</v>
      </c>
      <c r="I18" s="161" t="s">
        <v>34</v>
      </c>
      <c r="J18" s="161" t="s">
        <v>35</v>
      </c>
      <c r="K18" s="161" t="s">
        <v>36</v>
      </c>
    </row>
    <row r="19" spans="2:11">
      <c r="B19" s="450" t="s">
        <v>37</v>
      </c>
      <c r="C19" s="450" t="s">
        <v>56</v>
      </c>
      <c r="D19" s="162" t="s">
        <v>39</v>
      </c>
      <c r="E19" s="163">
        <v>0.25</v>
      </c>
      <c r="F19" s="163">
        <v>0.25</v>
      </c>
      <c r="G19" s="163">
        <v>0.25</v>
      </c>
      <c r="H19" s="163">
        <v>0.25</v>
      </c>
      <c r="I19" s="163">
        <v>0.25</v>
      </c>
      <c r="J19" s="163">
        <v>0.25</v>
      </c>
      <c r="K19" s="163"/>
    </row>
    <row r="20" spans="2:11">
      <c r="B20" s="450"/>
      <c r="C20" s="450"/>
      <c r="D20" s="162" t="s">
        <v>40</v>
      </c>
      <c r="E20" s="163">
        <v>0.54166666666666663</v>
      </c>
      <c r="F20" s="163">
        <v>0.54166666666666663</v>
      </c>
      <c r="G20" s="163">
        <v>0.54166666666666663</v>
      </c>
      <c r="H20" s="163">
        <v>0.54166666666666663</v>
      </c>
      <c r="I20" s="163">
        <v>0.58333333333333337</v>
      </c>
      <c r="J20" s="163">
        <v>0.58333333333333337</v>
      </c>
      <c r="K20" s="163"/>
    </row>
    <row r="21" spans="2:11">
      <c r="B21" s="450"/>
      <c r="C21" s="451"/>
      <c r="D21" s="164" t="s">
        <v>36</v>
      </c>
      <c r="E21" s="165">
        <f t="shared" ref="E21:J21" si="2">E20-E19</f>
        <v>0.29166666666666663</v>
      </c>
      <c r="F21" s="165">
        <f t="shared" si="2"/>
        <v>0.29166666666666663</v>
      </c>
      <c r="G21" s="165">
        <f t="shared" si="2"/>
        <v>0.29166666666666663</v>
      </c>
      <c r="H21" s="165">
        <f t="shared" si="2"/>
        <v>0.29166666666666663</v>
      </c>
      <c r="I21" s="165">
        <f t="shared" si="2"/>
        <v>0.33333333333333337</v>
      </c>
      <c r="J21" s="165">
        <f t="shared" si="2"/>
        <v>0.33333333333333337</v>
      </c>
      <c r="K21" s="165"/>
    </row>
    <row r="22" spans="2:11">
      <c r="B22" s="69"/>
      <c r="C22" s="454" t="s">
        <v>41</v>
      </c>
      <c r="D22" s="454"/>
      <c r="E22" s="166">
        <v>7</v>
      </c>
      <c r="F22" s="166">
        <v>7</v>
      </c>
      <c r="G22" s="166">
        <v>7</v>
      </c>
      <c r="H22" s="166">
        <v>7</v>
      </c>
      <c r="I22" s="166">
        <v>8</v>
      </c>
      <c r="J22" s="166">
        <v>8</v>
      </c>
      <c r="K22" s="166">
        <f>SUM(E22:J22)</f>
        <v>44</v>
      </c>
    </row>
    <row r="23" spans="2:11">
      <c r="C23" s="455" t="s">
        <v>44</v>
      </c>
      <c r="D23" s="456"/>
      <c r="E23" s="167" t="s">
        <v>49</v>
      </c>
      <c r="F23" s="167" t="s">
        <v>49</v>
      </c>
      <c r="G23" s="167" t="s">
        <v>49</v>
      </c>
      <c r="H23" s="167" t="s">
        <v>49</v>
      </c>
      <c r="I23" s="167" t="s">
        <v>49</v>
      </c>
      <c r="J23" s="167" t="s">
        <v>46</v>
      </c>
      <c r="K23" s="168"/>
    </row>
    <row r="26" spans="2:11">
      <c r="B26" s="151" t="s">
        <v>28</v>
      </c>
      <c r="C26" s="457" t="s">
        <v>29</v>
      </c>
      <c r="D26" s="458"/>
      <c r="E26" s="152" t="s">
        <v>30</v>
      </c>
      <c r="F26" s="152" t="s">
        <v>31</v>
      </c>
      <c r="G26" s="152" t="s">
        <v>32</v>
      </c>
      <c r="H26" s="152" t="s">
        <v>33</v>
      </c>
      <c r="I26" s="152" t="s">
        <v>34</v>
      </c>
      <c r="J26" s="152" t="s">
        <v>35</v>
      </c>
      <c r="K26" s="152" t="s">
        <v>36</v>
      </c>
    </row>
    <row r="27" spans="2:11">
      <c r="B27" s="459" t="s">
        <v>37</v>
      </c>
      <c r="C27" s="459" t="s">
        <v>57</v>
      </c>
      <c r="D27" s="153" t="s">
        <v>39</v>
      </c>
      <c r="E27" s="154">
        <v>0.54166666666666663</v>
      </c>
      <c r="F27" s="154">
        <v>0.54166666666666663</v>
      </c>
      <c r="G27" s="154">
        <v>0.58333333333333337</v>
      </c>
      <c r="H27" s="154">
        <v>0.58333333333333337</v>
      </c>
      <c r="I27" s="154">
        <v>0.58333333333333337</v>
      </c>
      <c r="J27" s="154">
        <v>0.58333333333333337</v>
      </c>
      <c r="K27" s="154"/>
    </row>
    <row r="28" spans="2:11">
      <c r="B28" s="459"/>
      <c r="C28" s="459"/>
      <c r="D28" s="153" t="s">
        <v>40</v>
      </c>
      <c r="E28" s="154">
        <v>0.875</v>
      </c>
      <c r="F28" s="154">
        <v>0.875</v>
      </c>
      <c r="G28" s="154">
        <v>0.875</v>
      </c>
      <c r="H28" s="154">
        <v>0.875</v>
      </c>
      <c r="I28" s="154">
        <v>0.875</v>
      </c>
      <c r="J28" s="154">
        <v>0.875</v>
      </c>
      <c r="K28" s="154"/>
    </row>
    <row r="29" spans="2:11">
      <c r="B29" s="459"/>
      <c r="C29" s="460"/>
      <c r="D29" s="155" t="s">
        <v>36</v>
      </c>
      <c r="E29" s="156">
        <f>E28-E27</f>
        <v>0.33333333333333337</v>
      </c>
      <c r="F29" s="156">
        <f>F28-F27</f>
        <v>0.33333333333333337</v>
      </c>
      <c r="G29" s="156">
        <f>G28-G27</f>
        <v>0.29166666666666663</v>
      </c>
      <c r="H29" s="156">
        <f>H28-H27</f>
        <v>0.29166666666666663</v>
      </c>
      <c r="I29" s="156">
        <f>I28-I27</f>
        <v>0.29166666666666663</v>
      </c>
      <c r="J29" s="156">
        <f>J28-J27</f>
        <v>0.29166666666666663</v>
      </c>
      <c r="K29" s="156"/>
    </row>
    <row r="30" spans="2:11">
      <c r="B30" s="69"/>
      <c r="C30" s="461" t="s">
        <v>41</v>
      </c>
      <c r="D30" s="461"/>
      <c r="E30" s="157">
        <v>8</v>
      </c>
      <c r="F30" s="157">
        <v>8</v>
      </c>
      <c r="G30" s="157">
        <v>7</v>
      </c>
      <c r="H30" s="157">
        <v>7</v>
      </c>
      <c r="I30" s="157">
        <v>7</v>
      </c>
      <c r="J30" s="157">
        <v>7</v>
      </c>
      <c r="K30" s="157">
        <f>SUM(E30:J30)</f>
        <v>44</v>
      </c>
    </row>
    <row r="31" spans="2:11">
      <c r="C31" s="462" t="s">
        <v>44</v>
      </c>
      <c r="D31" s="463"/>
      <c r="E31" s="158" t="s">
        <v>49</v>
      </c>
      <c r="F31" s="158" t="s">
        <v>49</v>
      </c>
      <c r="G31" s="158" t="s">
        <v>49</v>
      </c>
      <c r="H31" s="158" t="s">
        <v>49</v>
      </c>
      <c r="I31" s="158" t="s">
        <v>49</v>
      </c>
      <c r="J31" s="158" t="s">
        <v>49</v>
      </c>
      <c r="K31" s="159"/>
    </row>
    <row r="34" spans="2:5" ht="29.25">
      <c r="B34" s="128" t="s">
        <v>28</v>
      </c>
      <c r="C34" s="442" t="s">
        <v>29</v>
      </c>
      <c r="D34" s="442"/>
      <c r="E34" s="131" t="s">
        <v>51</v>
      </c>
    </row>
    <row r="35" spans="2:5">
      <c r="B35" s="443" t="s">
        <v>37</v>
      </c>
      <c r="C35" s="443" t="s">
        <v>58</v>
      </c>
      <c r="D35" s="129" t="s">
        <v>39</v>
      </c>
      <c r="E35" s="130">
        <v>0.25</v>
      </c>
    </row>
    <row r="36" spans="2:5">
      <c r="B36" s="443"/>
      <c r="C36" s="443"/>
      <c r="D36" s="129" t="s">
        <v>40</v>
      </c>
      <c r="E36" s="130">
        <v>0.58333333333333337</v>
      </c>
    </row>
    <row r="37" spans="2:5">
      <c r="B37" s="443"/>
      <c r="C37" s="443"/>
      <c r="D37" s="129" t="s">
        <v>36</v>
      </c>
      <c r="E37" s="130">
        <f>E36-E35</f>
        <v>0.33333333333333337</v>
      </c>
    </row>
    <row r="39" spans="2:5" ht="29.25">
      <c r="B39" s="106" t="s">
        <v>28</v>
      </c>
      <c r="C39" s="441" t="s">
        <v>29</v>
      </c>
      <c r="D39" s="441"/>
      <c r="E39" s="132" t="s">
        <v>51</v>
      </c>
    </row>
    <row r="40" spans="2:5">
      <c r="B40" s="435" t="s">
        <v>37</v>
      </c>
      <c r="C40" s="435" t="s">
        <v>59</v>
      </c>
      <c r="D40" s="126" t="s">
        <v>39</v>
      </c>
      <c r="E40" s="127">
        <v>0.5</v>
      </c>
    </row>
    <row r="41" spans="2:5">
      <c r="B41" s="435"/>
      <c r="C41" s="435"/>
      <c r="D41" s="126" t="s">
        <v>40</v>
      </c>
      <c r="E41" s="127">
        <v>0.83333333333333337</v>
      </c>
    </row>
    <row r="42" spans="2:5">
      <c r="B42" s="435"/>
      <c r="C42" s="435"/>
      <c r="D42" s="126" t="s">
        <v>36</v>
      </c>
      <c r="E42" s="127">
        <f>E41-E40</f>
        <v>0.33333333333333337</v>
      </c>
    </row>
  </sheetData>
  <mergeCells count="26">
    <mergeCell ref="B40:B42"/>
    <mergeCell ref="C40:C42"/>
    <mergeCell ref="C22:D22"/>
    <mergeCell ref="C23:D23"/>
    <mergeCell ref="C26:D26"/>
    <mergeCell ref="B27:B29"/>
    <mergeCell ref="C27:C29"/>
    <mergeCell ref="C30:D30"/>
    <mergeCell ref="C31:D31"/>
    <mergeCell ref="C34:D34"/>
    <mergeCell ref="B35:B37"/>
    <mergeCell ref="C35:C37"/>
    <mergeCell ref="C39:D39"/>
    <mergeCell ref="B19:B21"/>
    <mergeCell ref="C19:C21"/>
    <mergeCell ref="C2:D2"/>
    <mergeCell ref="B3:B5"/>
    <mergeCell ref="C3:C5"/>
    <mergeCell ref="C6:D6"/>
    <mergeCell ref="C7:D7"/>
    <mergeCell ref="C10:D10"/>
    <mergeCell ref="B11:B13"/>
    <mergeCell ref="C11:C13"/>
    <mergeCell ref="C14:D14"/>
    <mergeCell ref="C15:D15"/>
    <mergeCell ref="C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295C-E880-4A0A-9042-1063D398CA6E}">
  <sheetPr>
    <tabColor theme="7" tint="-0.499984740745262"/>
  </sheetPr>
  <dimension ref="B3:D33"/>
  <sheetViews>
    <sheetView topLeftCell="A13" workbookViewId="0">
      <selection activeCell="B22" sqref="B22:B24"/>
    </sheetView>
  </sheetViews>
  <sheetFormatPr defaultRowHeight="15"/>
  <cols>
    <col min="2" max="2" width="37.42578125" bestFit="1" customWidth="1"/>
    <col min="3" max="3" width="30.5703125" customWidth="1"/>
    <col min="4" max="4" width="50.140625" customWidth="1"/>
  </cols>
  <sheetData>
    <row r="3" spans="2:4">
      <c r="B3" s="174" t="s">
        <v>60</v>
      </c>
      <c r="C3" s="175" t="s">
        <v>61</v>
      </c>
      <c r="D3" s="176" t="s">
        <v>62</v>
      </c>
    </row>
    <row r="4" spans="2:4" ht="17.25" customHeight="1">
      <c r="B4" s="476" t="s">
        <v>63</v>
      </c>
      <c r="C4" s="172"/>
      <c r="D4" s="177"/>
    </row>
    <row r="5" spans="2:4" ht="17.25" customHeight="1">
      <c r="B5" s="476"/>
      <c r="C5" s="172"/>
      <c r="D5" s="177"/>
    </row>
    <row r="6" spans="2:4" ht="17.25" customHeight="1">
      <c r="B6" s="476"/>
      <c r="C6" s="172"/>
      <c r="D6" s="177"/>
    </row>
    <row r="7" spans="2:4" ht="17.25" customHeight="1">
      <c r="B7" s="477" t="s">
        <v>64</v>
      </c>
      <c r="C7" s="178">
        <v>46078</v>
      </c>
      <c r="D7" s="177" t="s">
        <v>65</v>
      </c>
    </row>
    <row r="8" spans="2:4" ht="17.25" customHeight="1">
      <c r="B8" s="477"/>
      <c r="C8" s="172"/>
      <c r="D8" s="177"/>
    </row>
    <row r="9" spans="2:4" ht="17.25" customHeight="1">
      <c r="B9" s="477"/>
      <c r="C9" s="172"/>
      <c r="D9" s="177"/>
    </row>
    <row r="10" spans="2:4" ht="17.25" customHeight="1">
      <c r="B10" s="478" t="s">
        <v>66</v>
      </c>
      <c r="C10" s="178">
        <v>46078</v>
      </c>
      <c r="D10" s="177" t="s">
        <v>67</v>
      </c>
    </row>
    <row r="11" spans="2:4" ht="17.25" customHeight="1">
      <c r="B11" s="478"/>
      <c r="C11" s="172"/>
      <c r="D11" s="177"/>
    </row>
    <row r="12" spans="2:4" ht="17.25" customHeight="1">
      <c r="B12" s="478"/>
      <c r="C12" s="172"/>
      <c r="D12" s="177"/>
    </row>
    <row r="13" spans="2:4" ht="17.25" customHeight="1">
      <c r="B13" s="479" t="s">
        <v>68</v>
      </c>
      <c r="C13" s="178">
        <v>46078</v>
      </c>
      <c r="D13" s="177" t="s">
        <v>69</v>
      </c>
    </row>
    <row r="14" spans="2:4" ht="17.25" customHeight="1">
      <c r="B14" s="479"/>
      <c r="C14" s="172"/>
      <c r="D14" s="177"/>
    </row>
    <row r="15" spans="2:4" ht="17.25" customHeight="1">
      <c r="B15" s="479"/>
      <c r="C15" s="172"/>
      <c r="D15" s="177"/>
    </row>
    <row r="16" spans="2:4" ht="17.25" customHeight="1">
      <c r="B16" s="480" t="s">
        <v>70</v>
      </c>
      <c r="C16" s="172"/>
      <c r="D16" s="177"/>
    </row>
    <row r="17" spans="2:4" ht="17.25" customHeight="1">
      <c r="B17" s="480"/>
      <c r="C17" s="172"/>
      <c r="D17" s="177"/>
    </row>
    <row r="18" spans="2:4" ht="17.25" customHeight="1">
      <c r="B18" s="480"/>
      <c r="C18" s="172"/>
      <c r="D18" s="177"/>
    </row>
    <row r="19" spans="2:4" ht="17.25" customHeight="1">
      <c r="B19" s="475" t="s">
        <v>71</v>
      </c>
      <c r="C19" s="178">
        <v>46078</v>
      </c>
      <c r="D19" s="177" t="s">
        <v>72</v>
      </c>
    </row>
    <row r="20" spans="2:4" ht="17.25" customHeight="1">
      <c r="B20" s="475"/>
      <c r="C20" s="172"/>
      <c r="D20" s="177"/>
    </row>
    <row r="21" spans="2:4" ht="17.25" customHeight="1">
      <c r="B21" s="475"/>
      <c r="C21" s="172"/>
      <c r="D21" s="177"/>
    </row>
    <row r="22" spans="2:4" ht="17.25" customHeight="1">
      <c r="B22" s="472" t="s">
        <v>73</v>
      </c>
      <c r="C22" s="172"/>
      <c r="D22" s="177"/>
    </row>
    <row r="23" spans="2:4" ht="17.25" customHeight="1">
      <c r="B23" s="473"/>
      <c r="C23" s="172"/>
      <c r="D23" s="177"/>
    </row>
    <row r="24" spans="2:4" ht="17.25" customHeight="1">
      <c r="B24" s="474"/>
      <c r="C24" s="172"/>
      <c r="D24" s="177"/>
    </row>
    <row r="25" spans="2:4" ht="17.25" customHeight="1">
      <c r="B25" s="464" t="s">
        <v>74</v>
      </c>
      <c r="C25" s="172"/>
      <c r="D25" s="177"/>
    </row>
    <row r="26" spans="2:4" ht="17.25" customHeight="1">
      <c r="B26" s="464"/>
      <c r="C26" s="172"/>
      <c r="D26" s="177"/>
    </row>
    <row r="27" spans="2:4" ht="17.25" customHeight="1">
      <c r="B27" s="464"/>
      <c r="C27" s="172"/>
      <c r="D27" s="177"/>
    </row>
    <row r="28" spans="2:4" ht="17.25" customHeight="1">
      <c r="B28" s="465" t="s">
        <v>14</v>
      </c>
      <c r="C28" s="172"/>
      <c r="D28" s="177"/>
    </row>
    <row r="29" spans="2:4" ht="17.25" customHeight="1">
      <c r="B29" s="465"/>
      <c r="C29" s="172"/>
      <c r="D29" s="177"/>
    </row>
    <row r="30" spans="2:4" ht="17.25" customHeight="1">
      <c r="B30" s="465"/>
      <c r="C30" s="172"/>
      <c r="D30" s="177"/>
    </row>
    <row r="31" spans="2:4" ht="17.25" customHeight="1">
      <c r="B31" s="466" t="s">
        <v>17</v>
      </c>
      <c r="C31" s="468"/>
      <c r="D31" s="470"/>
    </row>
    <row r="32" spans="2:4">
      <c r="B32" s="466"/>
      <c r="C32" s="468"/>
      <c r="D32" s="470"/>
    </row>
    <row r="33" spans="2:4">
      <c r="B33" s="467"/>
      <c r="C33" s="469"/>
      <c r="D33" s="471"/>
    </row>
  </sheetData>
  <mergeCells count="12">
    <mergeCell ref="B22:B24"/>
    <mergeCell ref="B19:B21"/>
    <mergeCell ref="B4:B6"/>
    <mergeCell ref="B7:B9"/>
    <mergeCell ref="B10:B12"/>
    <mergeCell ref="B13:B15"/>
    <mergeCell ref="B16:B18"/>
    <mergeCell ref="B25:B27"/>
    <mergeCell ref="B28:B30"/>
    <mergeCell ref="B31:B33"/>
    <mergeCell ref="C31:C33"/>
    <mergeCell ref="D31:D33"/>
  </mergeCells>
  <dataValidations count="1">
    <dataValidation type="list" allowBlank="1" showInputMessage="1" showErrorMessage="1" sqref="B4 B7 B10 B13 B16 B19 B25 B28" xr:uid="{9A460396-CE2D-46AB-8583-9543233042C0}">
      <formula1>$M$4:$M$12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DD73-DECE-4245-A797-1A7565F51C0A}">
  <sheetPr>
    <tabColor theme="9" tint="-0.249977111117893"/>
  </sheetPr>
  <dimension ref="B2:AH15"/>
  <sheetViews>
    <sheetView showGridLines="0" workbookViewId="0">
      <selection activeCell="B15" sqref="B15"/>
    </sheetView>
  </sheetViews>
  <sheetFormatPr defaultRowHeight="15"/>
  <cols>
    <col min="2" max="2" width="56.42578125" customWidth="1"/>
    <col min="3" max="22" width="3.42578125" customWidth="1"/>
    <col min="23" max="34" width="3.7109375" customWidth="1"/>
  </cols>
  <sheetData>
    <row r="2" spans="2:34" ht="23.25">
      <c r="B2" s="1"/>
      <c r="C2" s="481" t="s">
        <v>75</v>
      </c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3"/>
    </row>
    <row r="3" spans="2:3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4">
      <c r="B4" s="1"/>
      <c r="C4" s="50">
        <v>1</v>
      </c>
      <c r="D4" s="51">
        <v>2</v>
      </c>
      <c r="E4" s="51">
        <v>3</v>
      </c>
      <c r="F4" s="138">
        <v>4</v>
      </c>
      <c r="G4" s="51">
        <v>5</v>
      </c>
      <c r="H4" s="51">
        <v>6</v>
      </c>
      <c r="I4" s="138">
        <v>7</v>
      </c>
      <c r="J4" s="51">
        <v>8</v>
      </c>
      <c r="K4" s="51">
        <v>9</v>
      </c>
      <c r="L4" s="138">
        <v>10</v>
      </c>
      <c r="M4" s="51">
        <v>11</v>
      </c>
      <c r="N4" s="51">
        <v>12</v>
      </c>
      <c r="O4" s="138">
        <v>13</v>
      </c>
      <c r="P4" s="51">
        <v>14</v>
      </c>
      <c r="Q4" s="51">
        <v>15</v>
      </c>
      <c r="R4" s="138">
        <v>16</v>
      </c>
      <c r="S4" s="51">
        <v>17</v>
      </c>
      <c r="T4" s="51">
        <v>18</v>
      </c>
      <c r="U4" s="138">
        <v>19</v>
      </c>
      <c r="V4" s="51">
        <v>20</v>
      </c>
      <c r="W4" s="51">
        <v>21</v>
      </c>
      <c r="X4" s="138">
        <v>22</v>
      </c>
      <c r="Y4" s="51">
        <v>23</v>
      </c>
      <c r="Z4" s="51">
        <v>24</v>
      </c>
      <c r="AA4" s="138">
        <v>25</v>
      </c>
      <c r="AB4" s="51">
        <v>26</v>
      </c>
      <c r="AC4" s="51">
        <v>27</v>
      </c>
      <c r="AD4" s="138">
        <v>28</v>
      </c>
      <c r="AE4" s="138">
        <v>29</v>
      </c>
      <c r="AF4" s="138">
        <v>30</v>
      </c>
      <c r="AG4" s="139">
        <v>31</v>
      </c>
    </row>
    <row r="5" spans="2:34">
      <c r="B5" s="14" t="s">
        <v>1</v>
      </c>
      <c r="C5" s="140" t="s">
        <v>7</v>
      </c>
      <c r="D5" s="134" t="s">
        <v>2</v>
      </c>
      <c r="E5" s="134" t="s">
        <v>3</v>
      </c>
      <c r="F5" s="134" t="s">
        <v>3</v>
      </c>
      <c r="G5" s="134" t="s">
        <v>4</v>
      </c>
      <c r="H5" s="134" t="s">
        <v>5</v>
      </c>
      <c r="I5" s="134" t="s">
        <v>6</v>
      </c>
      <c r="J5" s="133" t="s">
        <v>7</v>
      </c>
      <c r="K5" s="134" t="s">
        <v>2</v>
      </c>
      <c r="L5" s="134" t="s">
        <v>3</v>
      </c>
      <c r="M5" s="134" t="s">
        <v>3</v>
      </c>
      <c r="N5" s="134" t="s">
        <v>4</v>
      </c>
      <c r="O5" s="134" t="s">
        <v>5</v>
      </c>
      <c r="P5" s="134" t="s">
        <v>6</v>
      </c>
      <c r="Q5" s="133" t="s">
        <v>7</v>
      </c>
      <c r="R5" s="134" t="s">
        <v>2</v>
      </c>
      <c r="S5" s="134" t="s">
        <v>3</v>
      </c>
      <c r="T5" s="134" t="s">
        <v>3</v>
      </c>
      <c r="U5" s="134" t="s">
        <v>4</v>
      </c>
      <c r="V5" s="134" t="s">
        <v>5</v>
      </c>
      <c r="W5" s="134" t="s">
        <v>6</v>
      </c>
      <c r="X5" s="133" t="s">
        <v>7</v>
      </c>
      <c r="Y5" s="133" t="s">
        <v>2</v>
      </c>
      <c r="Z5" s="134" t="s">
        <v>3</v>
      </c>
      <c r="AA5" s="134" t="s">
        <v>3</v>
      </c>
      <c r="AB5" s="134" t="s">
        <v>4</v>
      </c>
      <c r="AC5" s="134" t="s">
        <v>5</v>
      </c>
      <c r="AD5" s="134" t="s">
        <v>6</v>
      </c>
      <c r="AE5" s="133" t="s">
        <v>7</v>
      </c>
      <c r="AF5" s="134" t="s">
        <v>2</v>
      </c>
      <c r="AG5" s="141" t="s">
        <v>3</v>
      </c>
    </row>
    <row r="6" spans="2:34">
      <c r="B6" s="15" t="s">
        <v>8</v>
      </c>
      <c r="C6" s="142" t="s">
        <v>2</v>
      </c>
      <c r="D6" s="200">
        <v>7</v>
      </c>
      <c r="E6" s="200">
        <v>7</v>
      </c>
      <c r="F6" s="9">
        <v>3</v>
      </c>
      <c r="G6" s="179">
        <v>4</v>
      </c>
      <c r="H6" s="179">
        <v>4</v>
      </c>
      <c r="I6" s="179">
        <v>4</v>
      </c>
      <c r="J6" s="13" t="s">
        <v>2</v>
      </c>
      <c r="K6" s="9">
        <v>3</v>
      </c>
      <c r="L6" s="9">
        <v>3</v>
      </c>
      <c r="M6" s="9">
        <v>3</v>
      </c>
      <c r="N6" s="9">
        <v>3</v>
      </c>
      <c r="O6" s="179">
        <v>4</v>
      </c>
      <c r="P6" s="9">
        <v>3</v>
      </c>
      <c r="Q6" s="136">
        <v>6</v>
      </c>
      <c r="R6" s="188">
        <v>3</v>
      </c>
      <c r="S6" s="188">
        <v>3</v>
      </c>
      <c r="T6" s="188">
        <v>3</v>
      </c>
      <c r="U6" s="188">
        <v>3</v>
      </c>
      <c r="V6" s="188">
        <v>3</v>
      </c>
      <c r="W6" s="188">
        <v>3</v>
      </c>
      <c r="X6" s="13" t="s">
        <v>2</v>
      </c>
      <c r="Y6" s="13" t="s">
        <v>2</v>
      </c>
      <c r="Z6" s="179">
        <v>4</v>
      </c>
      <c r="AA6" s="179">
        <v>4</v>
      </c>
      <c r="AB6" s="150">
        <v>4</v>
      </c>
      <c r="AC6" s="150">
        <v>4</v>
      </c>
      <c r="AD6" s="150">
        <v>4</v>
      </c>
      <c r="AE6" s="13" t="s">
        <v>2</v>
      </c>
      <c r="AF6" s="150">
        <v>4</v>
      </c>
      <c r="AG6" s="169">
        <v>4</v>
      </c>
    </row>
    <row r="7" spans="2:34">
      <c r="B7" s="15" t="s">
        <v>9</v>
      </c>
      <c r="C7" s="145">
        <v>6</v>
      </c>
      <c r="D7" s="9">
        <v>3</v>
      </c>
      <c r="E7" s="179">
        <v>4</v>
      </c>
      <c r="F7" s="179">
        <v>4</v>
      </c>
      <c r="G7" s="179">
        <v>4</v>
      </c>
      <c r="H7" s="179">
        <v>4</v>
      </c>
      <c r="I7" s="179">
        <v>4</v>
      </c>
      <c r="J7" s="13" t="s">
        <v>2</v>
      </c>
      <c r="K7" s="9">
        <v>3</v>
      </c>
      <c r="L7" s="9">
        <v>3</v>
      </c>
      <c r="M7" s="9">
        <v>3</v>
      </c>
      <c r="N7" s="9">
        <v>3</v>
      </c>
      <c r="O7" s="9">
        <v>3</v>
      </c>
      <c r="P7" s="9">
        <v>3</v>
      </c>
      <c r="Q7" s="135">
        <v>5</v>
      </c>
      <c r="R7" s="179">
        <v>4</v>
      </c>
      <c r="S7" s="179">
        <v>4</v>
      </c>
      <c r="T7" s="150">
        <v>4</v>
      </c>
      <c r="U7" s="150">
        <v>4</v>
      </c>
      <c r="V7" s="179">
        <v>4</v>
      </c>
      <c r="W7" s="179">
        <v>4</v>
      </c>
      <c r="X7" s="13" t="s">
        <v>2</v>
      </c>
      <c r="Y7" s="135">
        <v>5</v>
      </c>
      <c r="Z7" s="150">
        <v>4</v>
      </c>
      <c r="AA7" s="150">
        <v>4</v>
      </c>
      <c r="AB7" s="150">
        <v>4</v>
      </c>
      <c r="AC7" s="150">
        <v>4</v>
      </c>
      <c r="AD7" s="150">
        <v>4</v>
      </c>
      <c r="AE7" s="13" t="s">
        <v>2</v>
      </c>
      <c r="AF7" s="180">
        <v>7</v>
      </c>
      <c r="AG7" s="180">
        <v>7</v>
      </c>
    </row>
    <row r="8" spans="2:34">
      <c r="B8" s="16" t="s">
        <v>10</v>
      </c>
      <c r="C8" s="142" t="s">
        <v>2</v>
      </c>
      <c r="D8" s="179">
        <v>4</v>
      </c>
      <c r="E8" s="9">
        <v>3</v>
      </c>
      <c r="F8" s="149">
        <v>2</v>
      </c>
      <c r="G8" s="9">
        <v>3</v>
      </c>
      <c r="H8" s="9">
        <v>3</v>
      </c>
      <c r="I8" s="9">
        <v>3</v>
      </c>
      <c r="J8" s="135">
        <v>5</v>
      </c>
      <c r="K8" s="179">
        <v>4</v>
      </c>
      <c r="L8" s="179">
        <v>4</v>
      </c>
      <c r="M8" s="179">
        <v>4</v>
      </c>
      <c r="N8" s="179">
        <v>4</v>
      </c>
      <c r="O8" s="9">
        <v>3</v>
      </c>
      <c r="P8" s="179">
        <v>4</v>
      </c>
      <c r="Q8" s="13" t="s">
        <v>2</v>
      </c>
      <c r="R8" s="150">
        <v>4</v>
      </c>
      <c r="S8" s="150">
        <v>4</v>
      </c>
      <c r="T8" s="9">
        <v>3</v>
      </c>
      <c r="U8" s="9">
        <v>3</v>
      </c>
      <c r="V8" s="150">
        <v>4</v>
      </c>
      <c r="W8" s="150">
        <v>4</v>
      </c>
      <c r="X8" s="13" t="s">
        <v>2</v>
      </c>
      <c r="Y8" s="13" t="s">
        <v>2</v>
      </c>
      <c r="Z8" s="9">
        <v>3</v>
      </c>
      <c r="AA8" s="9">
        <v>3</v>
      </c>
      <c r="AB8" s="9">
        <v>3</v>
      </c>
      <c r="AC8" s="9">
        <v>3</v>
      </c>
      <c r="AD8" s="9">
        <v>3</v>
      </c>
      <c r="AE8" s="135">
        <v>5</v>
      </c>
      <c r="AF8" s="9">
        <v>3</v>
      </c>
      <c r="AG8" s="144">
        <v>3</v>
      </c>
    </row>
    <row r="9" spans="2:34">
      <c r="B9" s="17" t="s">
        <v>11</v>
      </c>
      <c r="C9" s="142" t="s">
        <v>2</v>
      </c>
      <c r="D9" s="149">
        <v>2</v>
      </c>
      <c r="E9" s="149">
        <v>2</v>
      </c>
      <c r="F9" s="9">
        <v>3</v>
      </c>
      <c r="G9" s="149">
        <v>2</v>
      </c>
      <c r="H9" s="190">
        <v>3</v>
      </c>
      <c r="I9" s="190">
        <v>3</v>
      </c>
      <c r="J9" s="203">
        <v>6</v>
      </c>
      <c r="K9" s="206">
        <v>4</v>
      </c>
      <c r="L9" s="204">
        <v>7</v>
      </c>
      <c r="M9" s="9">
        <v>3</v>
      </c>
      <c r="N9" s="204">
        <v>7</v>
      </c>
      <c r="O9" s="204">
        <v>7</v>
      </c>
      <c r="P9" s="204">
        <v>7</v>
      </c>
      <c r="Q9" s="3" t="s">
        <v>2</v>
      </c>
      <c r="R9" s="204">
        <v>7</v>
      </c>
      <c r="S9" s="204">
        <v>7</v>
      </c>
      <c r="T9" s="150">
        <v>4</v>
      </c>
      <c r="U9" s="204">
        <v>7</v>
      </c>
      <c r="V9" s="204">
        <v>7</v>
      </c>
      <c r="W9" s="204">
        <v>7</v>
      </c>
      <c r="X9" s="205">
        <v>5</v>
      </c>
      <c r="Y9" s="3" t="s">
        <v>2</v>
      </c>
      <c r="Z9" s="149">
        <v>2</v>
      </c>
      <c r="AA9" s="149">
        <v>2</v>
      </c>
      <c r="AB9" s="149">
        <v>2</v>
      </c>
      <c r="AC9" s="149">
        <v>2</v>
      </c>
      <c r="AD9" s="149">
        <v>2</v>
      </c>
      <c r="AE9" s="13" t="s">
        <v>2</v>
      </c>
      <c r="AF9" s="149">
        <v>2</v>
      </c>
      <c r="AG9" s="149">
        <v>2</v>
      </c>
    </row>
    <row r="10" spans="2:34">
      <c r="B10" s="17" t="s">
        <v>12</v>
      </c>
      <c r="C10" s="142" t="s">
        <v>2</v>
      </c>
      <c r="D10" s="9">
        <v>3</v>
      </c>
      <c r="E10" s="9">
        <v>3</v>
      </c>
      <c r="F10" s="185">
        <v>4</v>
      </c>
      <c r="G10" s="201">
        <v>3</v>
      </c>
      <c r="H10" s="484" t="s">
        <v>76</v>
      </c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  <c r="AA10" s="485"/>
      <c r="AB10" s="485"/>
      <c r="AC10" s="486"/>
      <c r="AD10" s="202">
        <v>2</v>
      </c>
      <c r="AE10" s="136">
        <v>6</v>
      </c>
      <c r="AF10" s="150">
        <v>4</v>
      </c>
      <c r="AG10" s="169">
        <v>4</v>
      </c>
    </row>
    <row r="11" spans="2:34">
      <c r="B11" s="18" t="s">
        <v>13</v>
      </c>
      <c r="C11" s="184">
        <v>5</v>
      </c>
      <c r="D11" s="185">
        <v>4</v>
      </c>
      <c r="E11" s="189">
        <v>4</v>
      </c>
      <c r="F11" s="490" t="s">
        <v>77</v>
      </c>
      <c r="G11" s="491"/>
      <c r="H11" s="492"/>
      <c r="I11" s="492"/>
      <c r="J11" s="492"/>
      <c r="K11" s="493"/>
      <c r="L11" s="206">
        <v>4</v>
      </c>
      <c r="M11" s="207">
        <v>4</v>
      </c>
      <c r="N11" s="207">
        <v>4</v>
      </c>
      <c r="O11" s="207">
        <v>4</v>
      </c>
      <c r="P11" s="207">
        <v>4</v>
      </c>
      <c r="Q11" s="208" t="s">
        <v>2</v>
      </c>
      <c r="R11" s="188">
        <v>3</v>
      </c>
      <c r="S11" s="188">
        <v>3</v>
      </c>
      <c r="T11" s="204">
        <v>7</v>
      </c>
      <c r="U11" s="150">
        <v>4</v>
      </c>
      <c r="V11" s="188">
        <v>3</v>
      </c>
      <c r="W11" s="188">
        <v>3</v>
      </c>
      <c r="X11" s="209">
        <v>6</v>
      </c>
      <c r="Y11" s="209">
        <v>6</v>
      </c>
      <c r="Z11" s="188">
        <v>3</v>
      </c>
      <c r="AA11" s="188">
        <v>3</v>
      </c>
      <c r="AB11" s="188">
        <v>3</v>
      </c>
      <c r="AC11" s="188">
        <v>3</v>
      </c>
      <c r="AD11" s="9">
        <v>3</v>
      </c>
      <c r="AE11" s="13" t="s">
        <v>2</v>
      </c>
      <c r="AF11" s="181"/>
      <c r="AG11" s="181"/>
    </row>
    <row r="12" spans="2:34">
      <c r="B12" s="18" t="s">
        <v>78</v>
      </c>
      <c r="C12" s="487"/>
      <c r="D12" s="488"/>
      <c r="E12" s="488"/>
      <c r="F12" s="489"/>
      <c r="G12" s="187">
        <v>2</v>
      </c>
      <c r="H12" s="187">
        <v>2</v>
      </c>
      <c r="I12" s="187">
        <v>2</v>
      </c>
      <c r="J12" s="208" t="s">
        <v>2</v>
      </c>
      <c r="K12" s="187">
        <v>2</v>
      </c>
      <c r="L12" s="204">
        <v>7</v>
      </c>
      <c r="M12" s="149">
        <v>2</v>
      </c>
      <c r="N12" s="149">
        <v>2</v>
      </c>
      <c r="O12" s="149">
        <v>2</v>
      </c>
      <c r="P12" s="149">
        <v>2</v>
      </c>
      <c r="Q12" s="13" t="s">
        <v>2</v>
      </c>
      <c r="R12" s="149">
        <v>2</v>
      </c>
      <c r="S12" s="149">
        <v>2</v>
      </c>
      <c r="T12" s="149">
        <v>2</v>
      </c>
      <c r="U12" s="149">
        <v>2</v>
      </c>
      <c r="V12" s="149">
        <v>2</v>
      </c>
      <c r="W12" s="149">
        <v>2</v>
      </c>
      <c r="X12" s="181"/>
      <c r="Y12" s="181"/>
      <c r="Z12" s="204">
        <v>7</v>
      </c>
      <c r="AA12" s="204">
        <v>7</v>
      </c>
      <c r="AB12" s="204">
        <v>7</v>
      </c>
      <c r="AC12" s="204">
        <v>7</v>
      </c>
      <c r="AD12" s="204">
        <v>7</v>
      </c>
      <c r="AE12" s="13"/>
      <c r="AF12" s="188">
        <v>3</v>
      </c>
      <c r="AG12" s="9">
        <v>3</v>
      </c>
    </row>
    <row r="13" spans="2:34">
      <c r="B13" s="18" t="s">
        <v>14</v>
      </c>
      <c r="C13" s="186" t="s">
        <v>15</v>
      </c>
      <c r="D13" s="187">
        <v>2</v>
      </c>
      <c r="E13" s="188">
        <v>3</v>
      </c>
      <c r="F13" s="187">
        <v>2</v>
      </c>
      <c r="G13" s="149">
        <v>2</v>
      </c>
      <c r="H13" s="149">
        <v>2</v>
      </c>
      <c r="I13" s="13" t="s">
        <v>2</v>
      </c>
      <c r="J13" s="13" t="s">
        <v>2</v>
      </c>
      <c r="K13" s="149">
        <v>2</v>
      </c>
      <c r="L13" s="149">
        <v>2</v>
      </c>
      <c r="M13" s="149">
        <v>2</v>
      </c>
      <c r="N13" s="149">
        <v>2</v>
      </c>
      <c r="O13" s="149">
        <v>2</v>
      </c>
      <c r="P13" s="13" t="s">
        <v>2</v>
      </c>
      <c r="Q13" s="13" t="s">
        <v>2</v>
      </c>
      <c r="R13" s="137">
        <v>1</v>
      </c>
      <c r="S13" s="137">
        <v>1</v>
      </c>
      <c r="T13" s="137">
        <v>1</v>
      </c>
      <c r="U13" s="137">
        <v>1</v>
      </c>
      <c r="V13" s="137">
        <v>1</v>
      </c>
      <c r="W13" s="137">
        <v>1</v>
      </c>
      <c r="X13" s="13" t="s">
        <v>2</v>
      </c>
      <c r="Y13" s="13" t="s">
        <v>2</v>
      </c>
      <c r="Z13" s="137">
        <v>1</v>
      </c>
      <c r="AA13" s="137">
        <v>1</v>
      </c>
      <c r="AB13" s="137">
        <v>1</v>
      </c>
      <c r="AC13" s="137">
        <v>1</v>
      </c>
      <c r="AD13" s="137">
        <v>1</v>
      </c>
      <c r="AE13" s="13" t="s">
        <v>2</v>
      </c>
      <c r="AF13" s="149">
        <v>2</v>
      </c>
      <c r="AG13" s="170">
        <v>2</v>
      </c>
    </row>
    <row r="14" spans="2:34">
      <c r="B14" s="18" t="s">
        <v>16</v>
      </c>
      <c r="C14" s="142" t="s">
        <v>15</v>
      </c>
      <c r="D14" s="137">
        <v>1</v>
      </c>
      <c r="E14" s="137">
        <v>1</v>
      </c>
      <c r="F14" s="137">
        <v>1</v>
      </c>
      <c r="G14" s="137">
        <v>1</v>
      </c>
      <c r="H14" s="137">
        <v>1</v>
      </c>
      <c r="I14" s="13" t="s">
        <v>15</v>
      </c>
      <c r="J14" s="13" t="s">
        <v>2</v>
      </c>
      <c r="K14" s="137">
        <v>1</v>
      </c>
      <c r="L14" s="137">
        <v>1</v>
      </c>
      <c r="M14" s="137">
        <v>1</v>
      </c>
      <c r="N14" s="137">
        <v>1</v>
      </c>
      <c r="O14" s="137">
        <v>1</v>
      </c>
      <c r="P14" s="13" t="s">
        <v>2</v>
      </c>
      <c r="Q14" s="13" t="s">
        <v>2</v>
      </c>
      <c r="R14" s="149">
        <v>2</v>
      </c>
      <c r="S14" s="149">
        <v>2</v>
      </c>
      <c r="T14" s="149">
        <v>2</v>
      </c>
      <c r="U14" s="149">
        <v>2</v>
      </c>
      <c r="V14" s="149">
        <v>2</v>
      </c>
      <c r="W14" s="149">
        <v>2</v>
      </c>
      <c r="X14" s="13" t="s">
        <v>2</v>
      </c>
      <c r="Y14" s="13" t="s">
        <v>2</v>
      </c>
      <c r="Z14" s="149">
        <v>2</v>
      </c>
      <c r="AA14" s="149">
        <v>2</v>
      </c>
      <c r="AB14" s="149">
        <v>2</v>
      </c>
      <c r="AC14" s="149">
        <v>2</v>
      </c>
      <c r="AD14" s="149">
        <v>2</v>
      </c>
      <c r="AE14" s="13" t="s">
        <v>2</v>
      </c>
      <c r="AF14" s="137">
        <v>1</v>
      </c>
      <c r="AG14" s="146">
        <v>1</v>
      </c>
    </row>
    <row r="15" spans="2:34">
      <c r="B15" s="19" t="s">
        <v>17</v>
      </c>
      <c r="C15" s="147" t="s">
        <v>15</v>
      </c>
      <c r="D15" s="148">
        <v>1</v>
      </c>
      <c r="E15" s="148">
        <v>1</v>
      </c>
      <c r="F15" s="148">
        <v>1</v>
      </c>
      <c r="G15" s="148">
        <v>1</v>
      </c>
      <c r="H15" s="148">
        <v>1</v>
      </c>
      <c r="I15" s="64" t="s">
        <v>2</v>
      </c>
      <c r="J15" s="64" t="s">
        <v>2</v>
      </c>
      <c r="K15" s="148">
        <v>1</v>
      </c>
      <c r="L15" s="148">
        <v>1</v>
      </c>
      <c r="M15" s="148">
        <v>1</v>
      </c>
      <c r="N15" s="148">
        <v>1</v>
      </c>
      <c r="O15" s="64" t="s">
        <v>2</v>
      </c>
      <c r="P15" s="64" t="s">
        <v>2</v>
      </c>
      <c r="Q15" s="64" t="s">
        <v>2</v>
      </c>
      <c r="R15" s="171">
        <v>2</v>
      </c>
      <c r="S15" s="171">
        <v>2</v>
      </c>
      <c r="T15" s="171">
        <v>2</v>
      </c>
      <c r="U15" s="171">
        <v>2</v>
      </c>
      <c r="V15" s="171">
        <v>2</v>
      </c>
      <c r="W15" s="171">
        <v>2</v>
      </c>
      <c r="X15" s="64" t="s">
        <v>2</v>
      </c>
      <c r="Y15" s="64" t="s">
        <v>2</v>
      </c>
      <c r="Z15" s="171">
        <v>2</v>
      </c>
      <c r="AA15" s="171">
        <v>2</v>
      </c>
      <c r="AB15" s="171">
        <v>2</v>
      </c>
      <c r="AC15" s="171">
        <v>2</v>
      </c>
      <c r="AD15" s="171">
        <v>2</v>
      </c>
      <c r="AE15" s="64" t="s">
        <v>2</v>
      </c>
      <c r="AF15" s="148">
        <v>1</v>
      </c>
      <c r="AG15" s="173">
        <v>1</v>
      </c>
    </row>
  </sheetData>
  <mergeCells count="4">
    <mergeCell ref="C2:AH2"/>
    <mergeCell ref="H10:AC10"/>
    <mergeCell ref="C12:F12"/>
    <mergeCell ref="F11:K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EC58-57EC-4238-BFB3-A7FD4896AD8D}">
  <sheetPr>
    <tabColor theme="9" tint="-0.249977111117893"/>
  </sheetPr>
  <dimension ref="B2:K50"/>
  <sheetViews>
    <sheetView topLeftCell="A26" workbookViewId="0">
      <selection activeCell="G19" sqref="G19"/>
    </sheetView>
  </sheetViews>
  <sheetFormatPr defaultRowHeight="15"/>
  <cols>
    <col min="1" max="11" width="12.8554687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1">
      <c r="B18" s="160" t="s">
        <v>28</v>
      </c>
      <c r="C18" s="452" t="s">
        <v>29</v>
      </c>
      <c r="D18" s="453"/>
      <c r="E18" s="161" t="s">
        <v>30</v>
      </c>
      <c r="F18" s="161" t="s">
        <v>31</v>
      </c>
      <c r="G18" s="161" t="s">
        <v>32</v>
      </c>
      <c r="H18" s="161" t="s">
        <v>33</v>
      </c>
      <c r="I18" s="161" t="s">
        <v>34</v>
      </c>
      <c r="J18" s="161" t="s">
        <v>35</v>
      </c>
      <c r="K18" s="161" t="s">
        <v>36</v>
      </c>
    </row>
    <row r="19" spans="2:11">
      <c r="B19" s="450" t="s">
        <v>37</v>
      </c>
      <c r="C19" s="450" t="s">
        <v>56</v>
      </c>
      <c r="D19" s="162" t="s">
        <v>39</v>
      </c>
      <c r="E19" s="163">
        <v>0.25</v>
      </c>
      <c r="F19" s="163">
        <v>0.25</v>
      </c>
      <c r="G19" s="163">
        <v>0.25</v>
      </c>
      <c r="H19" s="163">
        <v>0.25</v>
      </c>
      <c r="I19" s="163">
        <v>0.25</v>
      </c>
      <c r="J19" s="163">
        <v>0.25</v>
      </c>
      <c r="K19" s="163"/>
    </row>
    <row r="20" spans="2:11">
      <c r="B20" s="450"/>
      <c r="C20" s="450"/>
      <c r="D20" s="162" t="s">
        <v>40</v>
      </c>
      <c r="E20" s="163">
        <v>0.54166666666666663</v>
      </c>
      <c r="F20" s="163">
        <v>0.54166666666666663</v>
      </c>
      <c r="G20" s="163">
        <v>0.54166666666666663</v>
      </c>
      <c r="H20" s="163">
        <v>0.54166666666666663</v>
      </c>
      <c r="I20" s="163">
        <v>0.58333333333333337</v>
      </c>
      <c r="J20" s="163">
        <v>0.58333333333333337</v>
      </c>
      <c r="K20" s="163"/>
    </row>
    <row r="21" spans="2:11">
      <c r="B21" s="450"/>
      <c r="C21" s="451"/>
      <c r="D21" s="164" t="s">
        <v>36</v>
      </c>
      <c r="E21" s="165">
        <f t="shared" ref="E21:J21" si="2">E20-E19</f>
        <v>0.29166666666666663</v>
      </c>
      <c r="F21" s="165">
        <f t="shared" si="2"/>
        <v>0.29166666666666663</v>
      </c>
      <c r="G21" s="165">
        <f t="shared" si="2"/>
        <v>0.29166666666666663</v>
      </c>
      <c r="H21" s="165">
        <f t="shared" si="2"/>
        <v>0.29166666666666663</v>
      </c>
      <c r="I21" s="165">
        <f t="shared" si="2"/>
        <v>0.33333333333333337</v>
      </c>
      <c r="J21" s="165">
        <f t="shared" si="2"/>
        <v>0.33333333333333337</v>
      </c>
      <c r="K21" s="165"/>
    </row>
    <row r="22" spans="2:11">
      <c r="B22" s="69"/>
      <c r="C22" s="454" t="s">
        <v>41</v>
      </c>
      <c r="D22" s="454"/>
      <c r="E22" s="166">
        <v>7</v>
      </c>
      <c r="F22" s="166">
        <v>7</v>
      </c>
      <c r="G22" s="166">
        <v>7</v>
      </c>
      <c r="H22" s="166">
        <v>7</v>
      </c>
      <c r="I22" s="166">
        <v>8</v>
      </c>
      <c r="J22" s="166">
        <v>8</v>
      </c>
      <c r="K22" s="166">
        <f>SUM(E22:J22)</f>
        <v>44</v>
      </c>
    </row>
    <row r="23" spans="2:11">
      <c r="C23" s="455" t="s">
        <v>44</v>
      </c>
      <c r="D23" s="456"/>
      <c r="E23" s="167" t="s">
        <v>49</v>
      </c>
      <c r="F23" s="167" t="s">
        <v>49</v>
      </c>
      <c r="G23" s="167" t="s">
        <v>49</v>
      </c>
      <c r="H23" s="167" t="s">
        <v>49</v>
      </c>
      <c r="I23" s="167" t="s">
        <v>49</v>
      </c>
      <c r="J23" s="167" t="s">
        <v>46</v>
      </c>
      <c r="K23" s="168"/>
    </row>
    <row r="26" spans="2:11">
      <c r="B26" s="151" t="s">
        <v>28</v>
      </c>
      <c r="C26" s="457" t="s">
        <v>29</v>
      </c>
      <c r="D26" s="458"/>
      <c r="E26" s="152" t="s">
        <v>30</v>
      </c>
      <c r="F26" s="152" t="s">
        <v>31</v>
      </c>
      <c r="G26" s="152" t="s">
        <v>32</v>
      </c>
      <c r="H26" s="152" t="s">
        <v>33</v>
      </c>
      <c r="I26" s="152" t="s">
        <v>34</v>
      </c>
      <c r="J26" s="152" t="s">
        <v>35</v>
      </c>
      <c r="K26" s="152" t="s">
        <v>36</v>
      </c>
    </row>
    <row r="27" spans="2:11">
      <c r="B27" s="459" t="s">
        <v>37</v>
      </c>
      <c r="C27" s="459" t="s">
        <v>57</v>
      </c>
      <c r="D27" s="153" t="s">
        <v>39</v>
      </c>
      <c r="E27" s="154">
        <v>0.54166666666666663</v>
      </c>
      <c r="F27" s="154">
        <v>0.54166666666666663</v>
      </c>
      <c r="G27" s="154">
        <v>0.58333333333333337</v>
      </c>
      <c r="H27" s="154">
        <v>0.58333333333333337</v>
      </c>
      <c r="I27" s="154">
        <v>0.58333333333333337</v>
      </c>
      <c r="J27" s="154">
        <v>0.58333333333333337</v>
      </c>
      <c r="K27" s="154"/>
    </row>
    <row r="28" spans="2:11">
      <c r="B28" s="459"/>
      <c r="C28" s="459"/>
      <c r="D28" s="153" t="s">
        <v>40</v>
      </c>
      <c r="E28" s="154">
        <v>0.875</v>
      </c>
      <c r="F28" s="154">
        <v>0.875</v>
      </c>
      <c r="G28" s="154">
        <v>0.875</v>
      </c>
      <c r="H28" s="154">
        <v>0.875</v>
      </c>
      <c r="I28" s="154">
        <v>0.875</v>
      </c>
      <c r="J28" s="154">
        <v>0.875</v>
      </c>
      <c r="K28" s="154"/>
    </row>
    <row r="29" spans="2:11">
      <c r="B29" s="459"/>
      <c r="C29" s="460"/>
      <c r="D29" s="155" t="s">
        <v>36</v>
      </c>
      <c r="E29" s="156">
        <f>E28-E27</f>
        <v>0.33333333333333337</v>
      </c>
      <c r="F29" s="156">
        <f>F28-F27</f>
        <v>0.33333333333333337</v>
      </c>
      <c r="G29" s="156">
        <f>G28-G27</f>
        <v>0.29166666666666663</v>
      </c>
      <c r="H29" s="156">
        <f>H28-H27</f>
        <v>0.29166666666666663</v>
      </c>
      <c r="I29" s="156">
        <f>I28-I27</f>
        <v>0.29166666666666663</v>
      </c>
      <c r="J29" s="156">
        <f>J28-J27</f>
        <v>0.29166666666666663</v>
      </c>
      <c r="K29" s="156"/>
    </row>
    <row r="30" spans="2:11">
      <c r="B30" s="69"/>
      <c r="C30" s="461" t="s">
        <v>41</v>
      </c>
      <c r="D30" s="461"/>
      <c r="E30" s="157">
        <v>8</v>
      </c>
      <c r="F30" s="157">
        <v>8</v>
      </c>
      <c r="G30" s="157">
        <v>7</v>
      </c>
      <c r="H30" s="157">
        <v>7</v>
      </c>
      <c r="I30" s="157">
        <v>7</v>
      </c>
      <c r="J30" s="157">
        <v>7</v>
      </c>
      <c r="K30" s="157">
        <f>SUM(E30:J30)</f>
        <v>44</v>
      </c>
    </row>
    <row r="31" spans="2:11">
      <c r="C31" s="462" t="s">
        <v>44</v>
      </c>
      <c r="D31" s="463"/>
      <c r="E31" s="158" t="s">
        <v>49</v>
      </c>
      <c r="F31" s="158" t="s">
        <v>49</v>
      </c>
      <c r="G31" s="158" t="s">
        <v>49</v>
      </c>
      <c r="H31" s="158" t="s">
        <v>49</v>
      </c>
      <c r="I31" s="158" t="s">
        <v>49</v>
      </c>
      <c r="J31" s="158" t="s">
        <v>49</v>
      </c>
      <c r="K31" s="159"/>
    </row>
    <row r="34" spans="2:11">
      <c r="B34" s="191" t="s">
        <v>28</v>
      </c>
      <c r="C34" s="498" t="s">
        <v>29</v>
      </c>
      <c r="D34" s="499"/>
      <c r="E34" s="192" t="s">
        <v>30</v>
      </c>
      <c r="F34" s="192" t="s">
        <v>31</v>
      </c>
      <c r="G34" s="192" t="s">
        <v>32</v>
      </c>
      <c r="H34" s="192" t="s">
        <v>33</v>
      </c>
      <c r="I34" s="192" t="s">
        <v>34</v>
      </c>
      <c r="J34" s="192" t="s">
        <v>35</v>
      </c>
      <c r="K34" s="192" t="s">
        <v>36</v>
      </c>
    </row>
    <row r="35" spans="2:11">
      <c r="B35" s="500" t="s">
        <v>37</v>
      </c>
      <c r="C35" s="501" t="s">
        <v>79</v>
      </c>
      <c r="D35" s="193" t="s">
        <v>39</v>
      </c>
      <c r="E35" s="194">
        <v>0.4375</v>
      </c>
      <c r="F35" s="194">
        <v>0.4375</v>
      </c>
      <c r="G35" s="194">
        <v>0.4375</v>
      </c>
      <c r="H35" s="194">
        <v>0.4375</v>
      </c>
      <c r="I35" s="194">
        <v>0.45833333333333331</v>
      </c>
      <c r="J35" s="194">
        <v>0.5</v>
      </c>
      <c r="K35" s="194"/>
    </row>
    <row r="36" spans="2:11">
      <c r="B36" s="500"/>
      <c r="C36" s="502"/>
      <c r="D36" s="193" t="s">
        <v>40</v>
      </c>
      <c r="E36" s="194">
        <v>0.79166666666666663</v>
      </c>
      <c r="F36" s="194">
        <v>0.79166666666666663</v>
      </c>
      <c r="G36" s="194">
        <v>0.79166666666666663</v>
      </c>
      <c r="H36" s="194">
        <v>0.79166666666666663</v>
      </c>
      <c r="I36" s="194">
        <v>0.79166666666666663</v>
      </c>
      <c r="J36" s="194">
        <v>0.79166666666666663</v>
      </c>
      <c r="K36" s="194"/>
    </row>
    <row r="37" spans="2:11">
      <c r="B37" s="500"/>
      <c r="C37" s="503"/>
      <c r="D37" s="195" t="s">
        <v>36</v>
      </c>
      <c r="E37" s="196">
        <f>E36-E35</f>
        <v>0.35416666666666663</v>
      </c>
      <c r="F37" s="196">
        <f>F36-F35</f>
        <v>0.35416666666666663</v>
      </c>
      <c r="G37" s="196">
        <f>G36-G35</f>
        <v>0.35416666666666663</v>
      </c>
      <c r="H37" s="196">
        <f>H36-H35</f>
        <v>0.35416666666666663</v>
      </c>
      <c r="I37" s="196">
        <f>I36-I35</f>
        <v>0.33333333333333331</v>
      </c>
      <c r="J37" s="196">
        <f>J36-J35</f>
        <v>0.29166666666666663</v>
      </c>
      <c r="K37" s="196"/>
    </row>
    <row r="38" spans="2:11" ht="15" customHeight="1">
      <c r="B38" s="69"/>
      <c r="C38" s="494" t="s">
        <v>41</v>
      </c>
      <c r="D38" s="495"/>
      <c r="E38" s="197" t="s">
        <v>42</v>
      </c>
      <c r="F38" s="197" t="s">
        <v>42</v>
      </c>
      <c r="G38" s="197" t="s">
        <v>42</v>
      </c>
      <c r="H38" s="197" t="s">
        <v>42</v>
      </c>
      <c r="I38" s="197">
        <v>8</v>
      </c>
      <c r="J38" s="197">
        <v>6</v>
      </c>
      <c r="K38" s="197">
        <v>44</v>
      </c>
    </row>
    <row r="39" spans="2:11">
      <c r="C39" s="496" t="s">
        <v>44</v>
      </c>
      <c r="D39" s="497"/>
      <c r="E39" s="198" t="s">
        <v>80</v>
      </c>
      <c r="F39" s="198" t="s">
        <v>80</v>
      </c>
      <c r="G39" s="198" t="s">
        <v>80</v>
      </c>
      <c r="H39" s="198" t="s">
        <v>80</v>
      </c>
      <c r="I39" s="198" t="s">
        <v>80</v>
      </c>
      <c r="J39" s="198" t="s">
        <v>49</v>
      </c>
      <c r="K39" s="199"/>
    </row>
    <row r="42" spans="2:11" ht="57.75">
      <c r="B42" s="128" t="s">
        <v>28</v>
      </c>
      <c r="C42" s="442" t="s">
        <v>29</v>
      </c>
      <c r="D42" s="442"/>
      <c r="E42" s="131" t="s">
        <v>51</v>
      </c>
    </row>
    <row r="43" spans="2:11">
      <c r="B43" s="443" t="s">
        <v>37</v>
      </c>
      <c r="C43" s="443" t="s">
        <v>58</v>
      </c>
      <c r="D43" s="129" t="s">
        <v>39</v>
      </c>
      <c r="E43" s="130">
        <v>0.25</v>
      </c>
    </row>
    <row r="44" spans="2:11">
      <c r="B44" s="443"/>
      <c r="C44" s="443"/>
      <c r="D44" s="129" t="s">
        <v>40</v>
      </c>
      <c r="E44" s="130">
        <v>0.58333333333333337</v>
      </c>
    </row>
    <row r="45" spans="2:11">
      <c r="B45" s="443"/>
      <c r="C45" s="443"/>
      <c r="D45" s="129" t="s">
        <v>36</v>
      </c>
      <c r="E45" s="130">
        <f>E44-E43</f>
        <v>0.33333333333333337</v>
      </c>
    </row>
    <row r="47" spans="2:11" ht="57.75">
      <c r="B47" s="106" t="s">
        <v>28</v>
      </c>
      <c r="C47" s="441" t="s">
        <v>29</v>
      </c>
      <c r="D47" s="441"/>
      <c r="E47" s="132" t="s">
        <v>51</v>
      </c>
    </row>
    <row r="48" spans="2:11">
      <c r="B48" s="435" t="s">
        <v>37</v>
      </c>
      <c r="C48" s="435" t="s">
        <v>59</v>
      </c>
      <c r="D48" s="126" t="s">
        <v>39</v>
      </c>
      <c r="E48" s="127">
        <v>0.5</v>
      </c>
    </row>
    <row r="49" spans="2:5">
      <c r="B49" s="435"/>
      <c r="C49" s="435"/>
      <c r="D49" s="126" t="s">
        <v>40</v>
      </c>
      <c r="E49" s="127">
        <v>0.83333333333333337</v>
      </c>
    </row>
    <row r="50" spans="2:5">
      <c r="B50" s="435"/>
      <c r="C50" s="435"/>
      <c r="D50" s="126" t="s">
        <v>36</v>
      </c>
      <c r="E50" s="127">
        <f>E49-E48</f>
        <v>0.33333333333333337</v>
      </c>
    </row>
  </sheetData>
  <mergeCells count="31">
    <mergeCell ref="B48:B50"/>
    <mergeCell ref="C48:C50"/>
    <mergeCell ref="C22:D22"/>
    <mergeCell ref="C23:D23"/>
    <mergeCell ref="C26:D26"/>
    <mergeCell ref="B27:B29"/>
    <mergeCell ref="C27:C29"/>
    <mergeCell ref="C30:D30"/>
    <mergeCell ref="C31:D31"/>
    <mergeCell ref="C42:D42"/>
    <mergeCell ref="B43:B45"/>
    <mergeCell ref="C43:C45"/>
    <mergeCell ref="C47:D47"/>
    <mergeCell ref="C34:D34"/>
    <mergeCell ref="B35:B37"/>
    <mergeCell ref="C35:C37"/>
    <mergeCell ref="C38:D38"/>
    <mergeCell ref="C39:D39"/>
    <mergeCell ref="B19:B21"/>
    <mergeCell ref="C19:C21"/>
    <mergeCell ref="C2:D2"/>
    <mergeCell ref="B3:B5"/>
    <mergeCell ref="C3:C5"/>
    <mergeCell ref="C6:D6"/>
    <mergeCell ref="C7:D7"/>
    <mergeCell ref="C10:D10"/>
    <mergeCell ref="B11:B13"/>
    <mergeCell ref="C11:C13"/>
    <mergeCell ref="C14:D14"/>
    <mergeCell ref="C15:D15"/>
    <mergeCell ref="C18:D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EB6B-3C23-4777-9EDF-8AD3D08B3592}">
  <sheetPr>
    <tabColor theme="9" tint="-0.499984740745262"/>
  </sheetPr>
  <dimension ref="B3:D33"/>
  <sheetViews>
    <sheetView topLeftCell="A5" workbookViewId="0">
      <selection activeCell="D15" sqref="D15"/>
    </sheetView>
  </sheetViews>
  <sheetFormatPr defaultRowHeight="15"/>
  <cols>
    <col min="2" max="2" width="37.42578125" bestFit="1" customWidth="1"/>
    <col min="3" max="3" width="22.5703125" customWidth="1"/>
    <col min="4" max="4" width="33" bestFit="1" customWidth="1"/>
  </cols>
  <sheetData>
    <row r="3" spans="2:4" ht="28.5">
      <c r="B3" s="174" t="s">
        <v>60</v>
      </c>
      <c r="C3" s="175" t="s">
        <v>61</v>
      </c>
      <c r="D3" s="176" t="s">
        <v>62</v>
      </c>
    </row>
    <row r="4" spans="2:4">
      <c r="B4" s="476" t="s">
        <v>63</v>
      </c>
      <c r="C4" s="172"/>
      <c r="D4" s="177"/>
    </row>
    <row r="5" spans="2:4">
      <c r="B5" s="476"/>
      <c r="C5" s="172"/>
      <c r="D5" s="177"/>
    </row>
    <row r="6" spans="2:4">
      <c r="B6" s="476"/>
      <c r="C6" s="172"/>
      <c r="D6" s="177"/>
    </row>
    <row r="7" spans="2:4">
      <c r="B7" s="477" t="s">
        <v>64</v>
      </c>
      <c r="C7" s="178">
        <v>46084</v>
      </c>
      <c r="D7" s="177" t="s">
        <v>81</v>
      </c>
    </row>
    <row r="8" spans="2:4">
      <c r="B8" s="477"/>
      <c r="C8" s="178">
        <v>46094</v>
      </c>
      <c r="D8" s="177" t="s">
        <v>82</v>
      </c>
    </row>
    <row r="9" spans="2:4">
      <c r="B9" s="477"/>
      <c r="C9" s="178">
        <v>46098</v>
      </c>
      <c r="D9" s="177" t="s">
        <v>83</v>
      </c>
    </row>
    <row r="10" spans="2:4">
      <c r="B10" s="478" t="s">
        <v>66</v>
      </c>
      <c r="C10" s="178"/>
      <c r="D10" s="177"/>
    </row>
    <row r="11" spans="2:4">
      <c r="B11" s="478"/>
      <c r="C11" s="172"/>
      <c r="D11" s="177"/>
    </row>
    <row r="12" spans="2:4">
      <c r="B12" s="478"/>
      <c r="C12" s="172"/>
      <c r="D12" s="177"/>
    </row>
    <row r="13" spans="2:4">
      <c r="B13" s="479" t="s">
        <v>68</v>
      </c>
      <c r="C13" s="178">
        <v>46084</v>
      </c>
      <c r="D13" s="177" t="s">
        <v>84</v>
      </c>
    </row>
    <row r="14" spans="2:4">
      <c r="B14" s="479"/>
      <c r="C14" s="178">
        <v>46094</v>
      </c>
      <c r="D14" s="177" t="s">
        <v>85</v>
      </c>
    </row>
    <row r="15" spans="2:4">
      <c r="B15" s="479"/>
      <c r="C15" s="178">
        <v>46098</v>
      </c>
      <c r="D15" s="177" t="s">
        <v>86</v>
      </c>
    </row>
    <row r="16" spans="2:4">
      <c r="B16" s="480" t="s">
        <v>70</v>
      </c>
      <c r="C16" s="172"/>
      <c r="D16" s="177"/>
    </row>
    <row r="17" spans="2:4">
      <c r="B17" s="480"/>
      <c r="C17" s="172"/>
      <c r="D17" s="177"/>
    </row>
    <row r="18" spans="2:4">
      <c r="B18" s="480"/>
      <c r="C18" s="172"/>
      <c r="D18" s="177"/>
    </row>
    <row r="19" spans="2:4">
      <c r="B19" s="475" t="s">
        <v>71</v>
      </c>
      <c r="C19" s="178">
        <v>46094</v>
      </c>
      <c r="D19" s="177" t="s">
        <v>87</v>
      </c>
    </row>
    <row r="20" spans="2:4">
      <c r="B20" s="475"/>
      <c r="C20" s="172"/>
      <c r="D20" s="177"/>
    </row>
    <row r="21" spans="2:4">
      <c r="B21" s="475"/>
      <c r="C21" s="172"/>
      <c r="D21" s="177"/>
    </row>
    <row r="22" spans="2:4">
      <c r="B22" s="464" t="s">
        <v>74</v>
      </c>
      <c r="C22" s="172"/>
      <c r="D22" s="177"/>
    </row>
    <row r="23" spans="2:4">
      <c r="B23" s="464"/>
      <c r="C23" s="172"/>
      <c r="D23" s="177"/>
    </row>
    <row r="24" spans="2:4">
      <c r="B24" s="464"/>
      <c r="C24" s="172"/>
      <c r="D24" s="177"/>
    </row>
    <row r="25" spans="2:4">
      <c r="B25" s="465" t="s">
        <v>14</v>
      </c>
      <c r="C25" s="172"/>
      <c r="D25" s="177"/>
    </row>
    <row r="26" spans="2:4">
      <c r="B26" s="465"/>
      <c r="C26" s="172"/>
      <c r="D26" s="177"/>
    </row>
    <row r="27" spans="2:4">
      <c r="B27" s="505"/>
      <c r="C27" s="182"/>
      <c r="D27" s="183"/>
    </row>
    <row r="28" spans="2:4">
      <c r="B28" s="506" t="s">
        <v>17</v>
      </c>
      <c r="C28" s="172"/>
      <c r="D28" s="172"/>
    </row>
    <row r="29" spans="2:4">
      <c r="B29" s="506"/>
      <c r="C29" s="172"/>
      <c r="D29" s="172"/>
    </row>
    <row r="30" spans="2:4">
      <c r="B30" s="506"/>
      <c r="C30" s="172"/>
      <c r="D30" s="172"/>
    </row>
    <row r="31" spans="2:4">
      <c r="B31" s="504" t="s">
        <v>73</v>
      </c>
      <c r="C31" s="172"/>
      <c r="D31" s="172"/>
    </row>
    <row r="32" spans="2:4">
      <c r="B32" s="504"/>
      <c r="C32" s="172"/>
      <c r="D32" s="172"/>
    </row>
    <row r="33" spans="2:4">
      <c r="B33" s="504"/>
      <c r="C33" s="172"/>
      <c r="D33" s="172"/>
    </row>
  </sheetData>
  <mergeCells count="10">
    <mergeCell ref="B31:B33"/>
    <mergeCell ref="B22:B24"/>
    <mergeCell ref="B25:B27"/>
    <mergeCell ref="B28:B30"/>
    <mergeCell ref="B4:B6"/>
    <mergeCell ref="B7:B9"/>
    <mergeCell ref="B10:B12"/>
    <mergeCell ref="B13:B15"/>
    <mergeCell ref="B16:B18"/>
    <mergeCell ref="B19:B21"/>
  </mergeCells>
  <dataValidations count="1">
    <dataValidation type="list" allowBlank="1" showInputMessage="1" showErrorMessage="1" sqref="B4 B7 B10 B13 B16 B19 B22 B25" xr:uid="{C5A9538C-8A10-4B38-951A-1161DE50D93C}">
      <formula1>$M$4:$M$12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3F47-EE2D-4FAD-9108-9B22B8FAB8B8}">
  <sheetPr>
    <tabColor rgb="FFC9B43A"/>
  </sheetPr>
  <dimension ref="B2:M50"/>
  <sheetViews>
    <sheetView topLeftCell="A6" workbookViewId="0">
      <selection activeCell="A50" sqref="A50"/>
    </sheetView>
  </sheetViews>
  <sheetFormatPr defaultRowHeight="15"/>
  <cols>
    <col min="1" max="11" width="12.8554687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3">
      <c r="B18" s="160" t="s">
        <v>28</v>
      </c>
      <c r="C18" s="452" t="s">
        <v>29</v>
      </c>
      <c r="D18" s="453"/>
      <c r="E18" s="161" t="s">
        <v>30</v>
      </c>
      <c r="F18" s="161" t="s">
        <v>31</v>
      </c>
      <c r="G18" s="161" t="s">
        <v>32</v>
      </c>
      <c r="H18" s="161" t="s">
        <v>33</v>
      </c>
      <c r="I18" s="161" t="s">
        <v>34</v>
      </c>
      <c r="J18" s="161" t="s">
        <v>35</v>
      </c>
      <c r="K18" s="161" t="s">
        <v>36</v>
      </c>
      <c r="M18" t="s">
        <v>88</v>
      </c>
    </row>
    <row r="19" spans="2:13">
      <c r="B19" s="450" t="s">
        <v>37</v>
      </c>
      <c r="C19" s="450" t="s">
        <v>56</v>
      </c>
      <c r="D19" s="162" t="s">
        <v>39</v>
      </c>
      <c r="E19" s="163">
        <v>0.25</v>
      </c>
      <c r="F19" s="163">
        <v>0.25</v>
      </c>
      <c r="G19" s="163">
        <v>0.25</v>
      </c>
      <c r="H19" s="163">
        <v>0.25</v>
      </c>
      <c r="I19" s="163">
        <v>0.25</v>
      </c>
      <c r="J19" s="163">
        <v>0.25</v>
      </c>
      <c r="K19" s="163"/>
    </row>
    <row r="20" spans="2:13">
      <c r="B20" s="450"/>
      <c r="C20" s="450"/>
      <c r="D20" s="162" t="s">
        <v>40</v>
      </c>
      <c r="E20" s="163">
        <v>0.54166666666666663</v>
      </c>
      <c r="F20" s="163">
        <v>0.54166666666666663</v>
      </c>
      <c r="G20" s="163">
        <v>0.54166666666666663</v>
      </c>
      <c r="H20" s="163">
        <v>0.54166666666666663</v>
      </c>
      <c r="I20" s="163">
        <v>0.58333333333333337</v>
      </c>
      <c r="J20" s="163">
        <v>0.58333333333333337</v>
      </c>
      <c r="K20" s="163"/>
    </row>
    <row r="21" spans="2:13">
      <c r="B21" s="450"/>
      <c r="C21" s="451"/>
      <c r="D21" s="164" t="s">
        <v>36</v>
      </c>
      <c r="E21" s="165">
        <f t="shared" ref="E21:J21" si="2">E20-E19</f>
        <v>0.29166666666666663</v>
      </c>
      <c r="F21" s="165">
        <f t="shared" si="2"/>
        <v>0.29166666666666663</v>
      </c>
      <c r="G21" s="165">
        <f t="shared" si="2"/>
        <v>0.29166666666666663</v>
      </c>
      <c r="H21" s="165">
        <f t="shared" si="2"/>
        <v>0.29166666666666663</v>
      </c>
      <c r="I21" s="165">
        <f t="shared" si="2"/>
        <v>0.33333333333333337</v>
      </c>
      <c r="J21" s="165">
        <f t="shared" si="2"/>
        <v>0.33333333333333337</v>
      </c>
      <c r="K21" s="165"/>
    </row>
    <row r="22" spans="2:13">
      <c r="B22" s="69"/>
      <c r="C22" s="454" t="s">
        <v>41</v>
      </c>
      <c r="D22" s="454"/>
      <c r="E22" s="166">
        <v>7</v>
      </c>
      <c r="F22" s="166">
        <v>7</v>
      </c>
      <c r="G22" s="166">
        <v>7</v>
      </c>
      <c r="H22" s="166">
        <v>7</v>
      </c>
      <c r="I22" s="166">
        <v>8</v>
      </c>
      <c r="J22" s="166">
        <v>8</v>
      </c>
      <c r="K22" s="166">
        <f>SUM(E22:J22)</f>
        <v>44</v>
      </c>
    </row>
    <row r="23" spans="2:13">
      <c r="C23" s="455" t="s">
        <v>44</v>
      </c>
      <c r="D23" s="456"/>
      <c r="E23" s="167" t="s">
        <v>49</v>
      </c>
      <c r="F23" s="167" t="s">
        <v>49</v>
      </c>
      <c r="G23" s="167" t="s">
        <v>49</v>
      </c>
      <c r="H23" s="167" t="s">
        <v>49</v>
      </c>
      <c r="I23" s="167" t="s">
        <v>49</v>
      </c>
      <c r="J23" s="167" t="s">
        <v>46</v>
      </c>
      <c r="K23" s="168"/>
    </row>
    <row r="26" spans="2:13">
      <c r="B26" s="151" t="s">
        <v>28</v>
      </c>
      <c r="C26" s="457" t="s">
        <v>29</v>
      </c>
      <c r="D26" s="458"/>
      <c r="E26" s="152" t="s">
        <v>30</v>
      </c>
      <c r="F26" s="152" t="s">
        <v>31</v>
      </c>
      <c r="G26" s="152" t="s">
        <v>32</v>
      </c>
      <c r="H26" s="152" t="s">
        <v>33</v>
      </c>
      <c r="I26" s="152" t="s">
        <v>34</v>
      </c>
      <c r="J26" s="152" t="s">
        <v>35</v>
      </c>
      <c r="K26" s="152" t="s">
        <v>36</v>
      </c>
    </row>
    <row r="27" spans="2:13">
      <c r="B27" s="459" t="s">
        <v>37</v>
      </c>
      <c r="C27" s="459" t="s">
        <v>57</v>
      </c>
      <c r="D27" s="153" t="s">
        <v>39</v>
      </c>
      <c r="E27" s="154">
        <v>0.54166666666666663</v>
      </c>
      <c r="F27" s="154">
        <v>0.54166666666666663</v>
      </c>
      <c r="G27" s="154">
        <v>0.58333333333333337</v>
      </c>
      <c r="H27" s="154">
        <v>0.58333333333333337</v>
      </c>
      <c r="I27" s="154">
        <v>0.58333333333333337</v>
      </c>
      <c r="J27" s="154">
        <v>0.58333333333333337</v>
      </c>
      <c r="K27" s="154"/>
    </row>
    <row r="28" spans="2:13">
      <c r="B28" s="459"/>
      <c r="C28" s="459"/>
      <c r="D28" s="153" t="s">
        <v>40</v>
      </c>
      <c r="E28" s="154">
        <v>0.875</v>
      </c>
      <c r="F28" s="154">
        <v>0.875</v>
      </c>
      <c r="G28" s="154">
        <v>0.875</v>
      </c>
      <c r="H28" s="154">
        <v>0.875</v>
      </c>
      <c r="I28" s="154">
        <v>0.875</v>
      </c>
      <c r="J28" s="154">
        <v>0.875</v>
      </c>
      <c r="K28" s="154"/>
    </row>
    <row r="29" spans="2:13">
      <c r="B29" s="459"/>
      <c r="C29" s="460"/>
      <c r="D29" s="155" t="s">
        <v>36</v>
      </c>
      <c r="E29" s="156">
        <f>E28-E27</f>
        <v>0.33333333333333337</v>
      </c>
      <c r="F29" s="156">
        <f>F28-F27</f>
        <v>0.33333333333333337</v>
      </c>
      <c r="G29" s="156">
        <f>G28-G27</f>
        <v>0.29166666666666663</v>
      </c>
      <c r="H29" s="156">
        <f>H28-H27</f>
        <v>0.29166666666666663</v>
      </c>
      <c r="I29" s="156">
        <f>I28-I27</f>
        <v>0.29166666666666663</v>
      </c>
      <c r="J29" s="156">
        <f>J28-J27</f>
        <v>0.29166666666666663</v>
      </c>
      <c r="K29" s="156"/>
    </row>
    <row r="30" spans="2:13">
      <c r="B30" s="69"/>
      <c r="C30" s="461" t="s">
        <v>41</v>
      </c>
      <c r="D30" s="461"/>
      <c r="E30" s="157">
        <v>8</v>
      </c>
      <c r="F30" s="157">
        <v>8</v>
      </c>
      <c r="G30" s="157">
        <v>7</v>
      </c>
      <c r="H30" s="157">
        <v>7</v>
      </c>
      <c r="I30" s="157">
        <v>7</v>
      </c>
      <c r="J30" s="157">
        <v>7</v>
      </c>
      <c r="K30" s="157">
        <f>SUM(E30:J30)</f>
        <v>44</v>
      </c>
    </row>
    <row r="31" spans="2:13">
      <c r="C31" s="462" t="s">
        <v>44</v>
      </c>
      <c r="D31" s="463"/>
      <c r="E31" s="158" t="s">
        <v>49</v>
      </c>
      <c r="F31" s="158" t="s">
        <v>49</v>
      </c>
      <c r="G31" s="158" t="s">
        <v>49</v>
      </c>
      <c r="H31" s="158" t="s">
        <v>49</v>
      </c>
      <c r="I31" s="158" t="s">
        <v>49</v>
      </c>
      <c r="J31" s="158" t="s">
        <v>49</v>
      </c>
      <c r="K31" s="159"/>
    </row>
    <row r="34" spans="2:11">
      <c r="B34" s="191" t="s">
        <v>28</v>
      </c>
      <c r="C34" s="498" t="s">
        <v>29</v>
      </c>
      <c r="D34" s="499"/>
      <c r="E34" s="192" t="s">
        <v>30</v>
      </c>
      <c r="F34" s="192" t="s">
        <v>31</v>
      </c>
      <c r="G34" s="192" t="s">
        <v>32</v>
      </c>
      <c r="H34" s="192" t="s">
        <v>33</v>
      </c>
      <c r="I34" s="192" t="s">
        <v>34</v>
      </c>
      <c r="J34" s="192" t="s">
        <v>35</v>
      </c>
      <c r="K34" s="192" t="s">
        <v>36</v>
      </c>
    </row>
    <row r="35" spans="2:11">
      <c r="B35" s="500" t="s">
        <v>37</v>
      </c>
      <c r="C35" s="501" t="s">
        <v>79</v>
      </c>
      <c r="D35" s="193" t="s">
        <v>39</v>
      </c>
      <c r="E35" s="194">
        <v>0.4375</v>
      </c>
      <c r="F35" s="194">
        <v>0.4375</v>
      </c>
      <c r="G35" s="194">
        <v>0.4375</v>
      </c>
      <c r="H35" s="194">
        <v>0.4375</v>
      </c>
      <c r="I35" s="194">
        <v>0.45833333333333331</v>
      </c>
      <c r="J35" s="194">
        <v>0.5</v>
      </c>
      <c r="K35" s="194"/>
    </row>
    <row r="36" spans="2:11">
      <c r="B36" s="500"/>
      <c r="C36" s="502"/>
      <c r="D36" s="193" t="s">
        <v>40</v>
      </c>
      <c r="E36" s="194">
        <v>0.79166666666666663</v>
      </c>
      <c r="F36" s="194">
        <v>0.79166666666666663</v>
      </c>
      <c r="G36" s="194">
        <v>0.79166666666666663</v>
      </c>
      <c r="H36" s="194">
        <v>0.79166666666666663</v>
      </c>
      <c r="I36" s="194">
        <v>0.79166666666666663</v>
      </c>
      <c r="J36" s="194">
        <v>0.79166666666666663</v>
      </c>
      <c r="K36" s="194"/>
    </row>
    <row r="37" spans="2:11">
      <c r="B37" s="500"/>
      <c r="C37" s="503"/>
      <c r="D37" s="195" t="s">
        <v>36</v>
      </c>
      <c r="E37" s="196">
        <f>E36-E35</f>
        <v>0.35416666666666663</v>
      </c>
      <c r="F37" s="196">
        <f>F36-F35</f>
        <v>0.35416666666666663</v>
      </c>
      <c r="G37" s="196">
        <f>G36-G35</f>
        <v>0.35416666666666663</v>
      </c>
      <c r="H37" s="196">
        <f>H36-H35</f>
        <v>0.35416666666666663</v>
      </c>
      <c r="I37" s="196">
        <f>I36-I35</f>
        <v>0.33333333333333331</v>
      </c>
      <c r="J37" s="196">
        <f>J36-J35</f>
        <v>0.29166666666666663</v>
      </c>
      <c r="K37" s="196"/>
    </row>
    <row r="38" spans="2:11" ht="15" customHeight="1">
      <c r="B38" s="69"/>
      <c r="C38" s="494" t="s">
        <v>41</v>
      </c>
      <c r="D38" s="495"/>
      <c r="E38" s="197" t="s">
        <v>42</v>
      </c>
      <c r="F38" s="197" t="s">
        <v>42</v>
      </c>
      <c r="G38" s="197" t="s">
        <v>42</v>
      </c>
      <c r="H38" s="197" t="s">
        <v>42</v>
      </c>
      <c r="I38" s="197">
        <v>8</v>
      </c>
      <c r="J38" s="197">
        <v>6</v>
      </c>
      <c r="K38" s="197">
        <v>44</v>
      </c>
    </row>
    <row r="39" spans="2:11">
      <c r="C39" s="496" t="s">
        <v>44</v>
      </c>
      <c r="D39" s="497"/>
      <c r="E39" s="198" t="s">
        <v>80</v>
      </c>
      <c r="F39" s="198" t="s">
        <v>80</v>
      </c>
      <c r="G39" s="198" t="s">
        <v>80</v>
      </c>
      <c r="H39" s="198" t="s">
        <v>80</v>
      </c>
      <c r="I39" s="198" t="s">
        <v>80</v>
      </c>
      <c r="J39" s="198" t="s">
        <v>49</v>
      </c>
      <c r="K39" s="199"/>
    </row>
    <row r="42" spans="2:11" ht="29.25">
      <c r="B42" s="128" t="s">
        <v>28</v>
      </c>
      <c r="C42" s="442" t="s">
        <v>29</v>
      </c>
      <c r="D42" s="442"/>
      <c r="E42" s="131" t="s">
        <v>51</v>
      </c>
    </row>
    <row r="43" spans="2:11">
      <c r="B43" s="443" t="s">
        <v>37</v>
      </c>
      <c r="C43" s="443" t="s">
        <v>58</v>
      </c>
      <c r="D43" s="129" t="s">
        <v>39</v>
      </c>
      <c r="E43" s="130">
        <v>0.25</v>
      </c>
    </row>
    <row r="44" spans="2:11">
      <c r="B44" s="443"/>
      <c r="C44" s="443"/>
      <c r="D44" s="129" t="s">
        <v>40</v>
      </c>
      <c r="E44" s="130">
        <v>0.58333333333333337</v>
      </c>
    </row>
    <row r="45" spans="2:11">
      <c r="B45" s="443"/>
      <c r="C45" s="443"/>
      <c r="D45" s="129" t="s">
        <v>36</v>
      </c>
      <c r="E45" s="130">
        <f>E44-E43</f>
        <v>0.33333333333333337</v>
      </c>
    </row>
    <row r="47" spans="2:11" ht="29.25">
      <c r="B47" s="106" t="s">
        <v>28</v>
      </c>
      <c r="C47" s="441" t="s">
        <v>29</v>
      </c>
      <c r="D47" s="441"/>
      <c r="E47" s="132" t="s">
        <v>51</v>
      </c>
    </row>
    <row r="48" spans="2:11">
      <c r="B48" s="435" t="s">
        <v>37</v>
      </c>
      <c r="C48" s="435" t="s">
        <v>59</v>
      </c>
      <c r="D48" s="126" t="s">
        <v>39</v>
      </c>
      <c r="E48" s="127">
        <v>0.5</v>
      </c>
    </row>
    <row r="49" spans="2:5">
      <c r="B49" s="435"/>
      <c r="C49" s="435"/>
      <c r="D49" s="126" t="s">
        <v>40</v>
      </c>
      <c r="E49" s="127">
        <v>0.83333333333333337</v>
      </c>
    </row>
    <row r="50" spans="2:5">
      <c r="B50" s="435"/>
      <c r="C50" s="435"/>
      <c r="D50" s="126" t="s">
        <v>36</v>
      </c>
      <c r="E50" s="127">
        <f>E49-E48</f>
        <v>0.33333333333333337</v>
      </c>
    </row>
  </sheetData>
  <mergeCells count="31">
    <mergeCell ref="B19:B21"/>
    <mergeCell ref="C19:C21"/>
    <mergeCell ref="C2:D2"/>
    <mergeCell ref="B3:B5"/>
    <mergeCell ref="C3:C5"/>
    <mergeCell ref="C6:D6"/>
    <mergeCell ref="C7:D7"/>
    <mergeCell ref="C10:D10"/>
    <mergeCell ref="B11:B13"/>
    <mergeCell ref="C11:C13"/>
    <mergeCell ref="C14:D14"/>
    <mergeCell ref="C15:D15"/>
    <mergeCell ref="C18:D18"/>
    <mergeCell ref="C39:D39"/>
    <mergeCell ref="C22:D22"/>
    <mergeCell ref="C23:D23"/>
    <mergeCell ref="C26:D26"/>
    <mergeCell ref="B27:B29"/>
    <mergeCell ref="C27:C29"/>
    <mergeCell ref="C30:D30"/>
    <mergeCell ref="C31:D31"/>
    <mergeCell ref="C34:D34"/>
    <mergeCell ref="B35:B37"/>
    <mergeCell ref="C35:C37"/>
    <mergeCell ref="C38:D38"/>
    <mergeCell ref="C42:D42"/>
    <mergeCell ref="B43:B45"/>
    <mergeCell ref="C43:C45"/>
    <mergeCell ref="C47:D47"/>
    <mergeCell ref="B48:B50"/>
    <mergeCell ref="C48:C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5C47-9B82-4A73-AF6E-6958644ABD12}">
  <sheetPr>
    <tabColor rgb="FFC9B43A"/>
  </sheetPr>
  <dimension ref="B3:XFD16"/>
  <sheetViews>
    <sheetView showGridLines="0" topLeftCell="B1" workbookViewId="0">
      <selection activeCell="E10" sqref="E10"/>
    </sheetView>
  </sheetViews>
  <sheetFormatPr defaultRowHeight="15"/>
  <cols>
    <col min="2" max="2" width="56.42578125" customWidth="1"/>
    <col min="3" max="38" width="3.42578125" customWidth="1"/>
  </cols>
  <sheetData>
    <row r="3" spans="2:38 16384:16384" ht="23.25">
      <c r="B3" s="1"/>
      <c r="C3" s="235" t="s">
        <v>89</v>
      </c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7"/>
    </row>
    <row r="4" spans="2:38 16384:1638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8 16384:16384">
      <c r="B5" s="1"/>
      <c r="C5" s="216">
        <v>29</v>
      </c>
      <c r="D5" s="216">
        <v>30</v>
      </c>
      <c r="E5" s="216">
        <v>31</v>
      </c>
      <c r="F5" s="216">
        <v>1</v>
      </c>
      <c r="G5" s="13">
        <v>2</v>
      </c>
      <c r="H5" s="13">
        <v>3</v>
      </c>
      <c r="I5" s="216">
        <v>4</v>
      </c>
      <c r="J5" s="216">
        <v>5</v>
      </c>
      <c r="K5" s="13">
        <v>6</v>
      </c>
      <c r="L5" s="13">
        <v>7</v>
      </c>
      <c r="M5" s="216">
        <v>8</v>
      </c>
      <c r="N5" s="216">
        <v>9</v>
      </c>
      <c r="O5" s="13">
        <v>10</v>
      </c>
      <c r="P5" s="13">
        <v>11</v>
      </c>
      <c r="Q5" s="216">
        <v>12</v>
      </c>
      <c r="R5" s="13">
        <v>13</v>
      </c>
      <c r="S5" s="13">
        <v>14</v>
      </c>
      <c r="T5" s="216">
        <v>15</v>
      </c>
      <c r="U5" s="216">
        <v>16</v>
      </c>
      <c r="V5" s="13">
        <v>17</v>
      </c>
      <c r="W5" s="13">
        <v>18</v>
      </c>
      <c r="X5" s="216">
        <v>19</v>
      </c>
      <c r="Y5" s="216">
        <v>20</v>
      </c>
      <c r="Z5" s="13">
        <v>21</v>
      </c>
      <c r="AA5" s="13">
        <v>22</v>
      </c>
      <c r="AB5" s="216">
        <v>23</v>
      </c>
      <c r="AC5" s="13">
        <v>24</v>
      </c>
      <c r="AD5" s="13">
        <v>25</v>
      </c>
      <c r="AE5" s="240">
        <v>26</v>
      </c>
      <c r="AF5" s="216">
        <v>27</v>
      </c>
      <c r="AG5" s="13">
        <v>28</v>
      </c>
      <c r="AH5" s="13">
        <v>29</v>
      </c>
      <c r="AI5" s="13">
        <v>30</v>
      </c>
      <c r="AJ5" s="13">
        <v>1</v>
      </c>
      <c r="AK5" s="13">
        <v>2</v>
      </c>
      <c r="AL5" s="13">
        <v>3</v>
      </c>
      <c r="XFD5" s="13"/>
    </row>
    <row r="6" spans="2:38 16384:16384">
      <c r="B6" s="14" t="s">
        <v>1</v>
      </c>
      <c r="C6" s="133" t="s">
        <v>7</v>
      </c>
      <c r="D6" s="134" t="s">
        <v>2</v>
      </c>
      <c r="E6" s="134" t="s">
        <v>3</v>
      </c>
      <c r="F6" s="134" t="s">
        <v>3</v>
      </c>
      <c r="G6" s="133" t="s">
        <v>4</v>
      </c>
      <c r="H6" s="133" t="s">
        <v>5</v>
      </c>
      <c r="I6" s="134" t="s">
        <v>6</v>
      </c>
      <c r="J6" s="133" t="s">
        <v>7</v>
      </c>
      <c r="K6" s="134" t="s">
        <v>2</v>
      </c>
      <c r="L6" s="134" t="s">
        <v>3</v>
      </c>
      <c r="M6" s="134" t="s">
        <v>3</v>
      </c>
      <c r="N6" s="134" t="s">
        <v>4</v>
      </c>
      <c r="O6" s="134" t="s">
        <v>5</v>
      </c>
      <c r="P6" s="134" t="s">
        <v>6</v>
      </c>
      <c r="Q6" s="133" t="s">
        <v>7</v>
      </c>
      <c r="R6" s="134" t="s">
        <v>2</v>
      </c>
      <c r="S6" s="134" t="s">
        <v>3</v>
      </c>
      <c r="T6" s="134" t="s">
        <v>3</v>
      </c>
      <c r="U6" s="134" t="s">
        <v>4</v>
      </c>
      <c r="V6" s="134" t="s">
        <v>5</v>
      </c>
      <c r="W6" s="134" t="s">
        <v>6</v>
      </c>
      <c r="X6" s="133" t="s">
        <v>7</v>
      </c>
      <c r="Y6" s="134" t="s">
        <v>2</v>
      </c>
      <c r="Z6" s="134" t="s">
        <v>3</v>
      </c>
      <c r="AA6" s="134" t="s">
        <v>3</v>
      </c>
      <c r="AB6" s="134" t="s">
        <v>4</v>
      </c>
      <c r="AC6" s="134" t="s">
        <v>5</v>
      </c>
      <c r="AD6" s="134" t="s">
        <v>6</v>
      </c>
      <c r="AE6" s="241" t="s">
        <v>7</v>
      </c>
      <c r="AF6" s="134" t="s">
        <v>2</v>
      </c>
      <c r="AG6" s="134" t="s">
        <v>3</v>
      </c>
      <c r="AH6" s="134" t="s">
        <v>3</v>
      </c>
      <c r="AI6" s="5" t="s">
        <v>4</v>
      </c>
      <c r="AJ6" s="4" t="s">
        <v>5</v>
      </c>
      <c r="AK6" s="5" t="s">
        <v>6</v>
      </c>
      <c r="AL6" s="5" t="s">
        <v>7</v>
      </c>
    </row>
    <row r="7" spans="2:38 16384:16384">
      <c r="B7" s="15" t="s">
        <v>8</v>
      </c>
      <c r="C7" s="13" t="s">
        <v>2</v>
      </c>
      <c r="D7" s="9">
        <v>3</v>
      </c>
      <c r="E7" s="150">
        <v>4</v>
      </c>
      <c r="F7" s="9">
        <v>3</v>
      </c>
      <c r="G7" s="135">
        <v>5</v>
      </c>
      <c r="H7" s="135">
        <v>5</v>
      </c>
      <c r="I7" s="179">
        <v>4</v>
      </c>
      <c r="J7" s="13" t="s">
        <v>2</v>
      </c>
      <c r="K7" s="9">
        <v>3</v>
      </c>
      <c r="L7" s="179">
        <v>4</v>
      </c>
      <c r="M7" s="9">
        <v>3</v>
      </c>
      <c r="N7" s="9">
        <v>3</v>
      </c>
      <c r="O7" s="9">
        <v>3</v>
      </c>
      <c r="P7" s="9">
        <v>3</v>
      </c>
      <c r="Q7" s="13" t="s">
        <v>2</v>
      </c>
      <c r="R7" s="9">
        <v>3</v>
      </c>
      <c r="S7" s="179">
        <v>4</v>
      </c>
      <c r="T7" s="9">
        <v>3</v>
      </c>
      <c r="U7" s="149">
        <v>2</v>
      </c>
      <c r="V7" s="9">
        <v>3</v>
      </c>
      <c r="W7" s="9">
        <v>3</v>
      </c>
      <c r="X7" s="13" t="s">
        <v>2</v>
      </c>
      <c r="Y7" s="179">
        <v>4</v>
      </c>
      <c r="Z7" s="179">
        <v>4</v>
      </c>
      <c r="AA7" s="150">
        <v>4</v>
      </c>
      <c r="AB7" s="150">
        <v>4</v>
      </c>
      <c r="AC7" s="150">
        <v>4</v>
      </c>
      <c r="AD7" s="150">
        <v>4</v>
      </c>
      <c r="AE7" s="242">
        <v>6</v>
      </c>
      <c r="AF7" s="149">
        <v>2</v>
      </c>
      <c r="AG7" s="149">
        <v>2</v>
      </c>
      <c r="AH7" s="247">
        <v>2</v>
      </c>
      <c r="AI7" s="507" t="s">
        <v>76</v>
      </c>
      <c r="AJ7" s="507"/>
      <c r="AK7" s="507"/>
      <c r="AL7" s="507"/>
    </row>
    <row r="8" spans="2:38 16384:16384">
      <c r="B8" s="15" t="s">
        <v>9</v>
      </c>
      <c r="C8" s="13" t="s">
        <v>2</v>
      </c>
      <c r="D8" s="204">
        <v>7</v>
      </c>
      <c r="E8" s="204">
        <v>7</v>
      </c>
      <c r="F8" s="204">
        <v>7</v>
      </c>
      <c r="G8" s="13" t="s">
        <v>2</v>
      </c>
      <c r="H8" s="13" t="s">
        <v>2</v>
      </c>
      <c r="I8" s="204">
        <v>7</v>
      </c>
      <c r="J8" s="135">
        <v>5</v>
      </c>
      <c r="K8" s="204">
        <v>7</v>
      </c>
      <c r="L8" s="204">
        <v>7</v>
      </c>
      <c r="M8" s="150">
        <v>4</v>
      </c>
      <c r="N8" s="204">
        <v>7</v>
      </c>
      <c r="O8" s="204">
        <v>7</v>
      </c>
      <c r="P8" s="204">
        <v>7</v>
      </c>
      <c r="Q8" s="13" t="s">
        <v>2</v>
      </c>
      <c r="R8" s="150">
        <v>4</v>
      </c>
      <c r="S8" s="9">
        <v>3</v>
      </c>
      <c r="T8" s="150">
        <v>4</v>
      </c>
      <c r="U8" s="9">
        <v>3</v>
      </c>
      <c r="V8" s="13" t="s">
        <v>2</v>
      </c>
      <c r="W8" s="9">
        <v>3</v>
      </c>
      <c r="X8" s="136">
        <v>6</v>
      </c>
      <c r="Y8" s="508" t="s">
        <v>90</v>
      </c>
      <c r="Z8" s="509"/>
      <c r="AA8" s="510"/>
      <c r="AB8" s="149">
        <v>2</v>
      </c>
      <c r="AC8" s="149">
        <v>2</v>
      </c>
      <c r="AD8" s="149">
        <v>2</v>
      </c>
      <c r="AE8" s="234" t="s">
        <v>2</v>
      </c>
      <c r="AF8" s="179">
        <v>4</v>
      </c>
      <c r="AG8" s="149">
        <v>2</v>
      </c>
      <c r="AH8" s="248">
        <v>4</v>
      </c>
      <c r="AI8" s="150">
        <v>4</v>
      </c>
      <c r="AJ8" s="13" t="s">
        <v>2</v>
      </c>
      <c r="AK8" s="150">
        <v>4</v>
      </c>
      <c r="AL8" s="135">
        <v>5</v>
      </c>
    </row>
    <row r="9" spans="2:38 16384:16384">
      <c r="B9" s="16" t="s">
        <v>10</v>
      </c>
      <c r="C9" s="135">
        <v>5</v>
      </c>
      <c r="D9" s="150">
        <v>4</v>
      </c>
      <c r="E9" s="9">
        <v>3</v>
      </c>
      <c r="F9" s="9">
        <v>3</v>
      </c>
      <c r="G9" s="13" t="s">
        <v>2</v>
      </c>
      <c r="H9" s="136">
        <v>6</v>
      </c>
      <c r="I9" s="9">
        <v>3</v>
      </c>
      <c r="J9" s="13" t="s">
        <v>2</v>
      </c>
      <c r="K9" s="150">
        <v>4</v>
      </c>
      <c r="L9" s="9">
        <v>3</v>
      </c>
      <c r="M9" s="150">
        <v>4</v>
      </c>
      <c r="N9" s="150">
        <v>4</v>
      </c>
      <c r="O9" s="150">
        <v>4</v>
      </c>
      <c r="P9" s="150">
        <v>4</v>
      </c>
      <c r="Q9" s="136">
        <v>6</v>
      </c>
      <c r="R9" s="9">
        <v>3</v>
      </c>
      <c r="S9" s="9">
        <v>3</v>
      </c>
      <c r="T9" s="150">
        <v>4</v>
      </c>
      <c r="U9" s="150">
        <v>4</v>
      </c>
      <c r="V9" s="150">
        <v>4</v>
      </c>
      <c r="W9" s="150">
        <v>4</v>
      </c>
      <c r="X9" s="13" t="s">
        <v>2</v>
      </c>
      <c r="Y9" s="9">
        <v>3</v>
      </c>
      <c r="Z9" s="9">
        <v>3</v>
      </c>
      <c r="AA9" s="9">
        <v>3</v>
      </c>
      <c r="AB9" s="9">
        <v>3</v>
      </c>
      <c r="AC9" s="9">
        <v>3</v>
      </c>
      <c r="AD9" s="9">
        <v>3</v>
      </c>
      <c r="AE9" s="234" t="s">
        <v>2</v>
      </c>
      <c r="AF9" s="149">
        <v>2</v>
      </c>
      <c r="AG9" s="9">
        <v>3</v>
      </c>
      <c r="AH9" s="249">
        <v>3</v>
      </c>
      <c r="AI9" s="9">
        <v>3</v>
      </c>
      <c r="AJ9" s="135">
        <v>5</v>
      </c>
      <c r="AK9" s="9">
        <v>3</v>
      </c>
      <c r="AL9" s="13" t="s">
        <v>2</v>
      </c>
    </row>
    <row r="10" spans="2:38 16384:16384">
      <c r="B10" s="17" t="s">
        <v>11</v>
      </c>
      <c r="C10" s="13" t="s">
        <v>2</v>
      </c>
      <c r="D10" s="149">
        <v>2</v>
      </c>
      <c r="E10" s="149">
        <v>2</v>
      </c>
      <c r="F10" s="150">
        <v>4</v>
      </c>
      <c r="G10" s="13" t="s">
        <v>2</v>
      </c>
      <c r="H10" s="13" t="s">
        <v>2</v>
      </c>
      <c r="I10" s="149">
        <v>2</v>
      </c>
      <c r="J10" s="136">
        <v>6</v>
      </c>
      <c r="K10" s="179">
        <v>4</v>
      </c>
      <c r="L10" s="179">
        <v>4</v>
      </c>
      <c r="M10" s="9">
        <v>3</v>
      </c>
      <c r="N10" s="150">
        <v>4</v>
      </c>
      <c r="O10" s="150">
        <v>4</v>
      </c>
      <c r="P10" s="150">
        <v>4</v>
      </c>
      <c r="Q10" s="13" t="s">
        <v>2</v>
      </c>
      <c r="R10" s="179">
        <v>4</v>
      </c>
      <c r="S10" s="179">
        <v>4</v>
      </c>
      <c r="T10" s="9">
        <v>3</v>
      </c>
      <c r="U10" s="150">
        <v>4</v>
      </c>
      <c r="V10" s="149">
        <v>2</v>
      </c>
      <c r="W10" s="150">
        <v>4</v>
      </c>
      <c r="X10" s="13" t="s">
        <v>2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3</v>
      </c>
      <c r="AE10" s="243">
        <v>5</v>
      </c>
      <c r="AF10" s="9">
        <v>3</v>
      </c>
      <c r="AG10" s="179">
        <v>4</v>
      </c>
      <c r="AH10" s="249">
        <v>3</v>
      </c>
      <c r="AI10" s="9">
        <v>3</v>
      </c>
      <c r="AJ10" s="13" t="s">
        <v>2</v>
      </c>
      <c r="AK10" s="9">
        <v>3</v>
      </c>
      <c r="AL10" s="13" t="s">
        <v>2</v>
      </c>
    </row>
    <row r="11" spans="2:38 16384:16384">
      <c r="B11" s="17" t="s">
        <v>12</v>
      </c>
      <c r="C11" s="136">
        <v>6</v>
      </c>
      <c r="D11" s="150">
        <v>4</v>
      </c>
      <c r="E11" s="150">
        <v>4</v>
      </c>
      <c r="F11" s="150">
        <v>4</v>
      </c>
      <c r="G11" s="136">
        <v>6</v>
      </c>
      <c r="H11" s="13" t="s">
        <v>2</v>
      </c>
      <c r="I11" s="150">
        <v>4</v>
      </c>
      <c r="J11" s="13" t="s">
        <v>2</v>
      </c>
      <c r="K11" s="149">
        <v>2</v>
      </c>
      <c r="L11" s="149">
        <v>2</v>
      </c>
      <c r="M11" s="149">
        <v>2</v>
      </c>
      <c r="N11" s="149">
        <v>2</v>
      </c>
      <c r="O11" s="149">
        <v>2</v>
      </c>
      <c r="P11" s="149">
        <v>2</v>
      </c>
      <c r="Q11" s="13" t="s">
        <v>2</v>
      </c>
      <c r="R11" s="149">
        <v>2</v>
      </c>
      <c r="S11" s="149">
        <v>2</v>
      </c>
      <c r="T11" s="149">
        <v>2</v>
      </c>
      <c r="U11" s="9">
        <v>3</v>
      </c>
      <c r="V11" s="9">
        <v>3</v>
      </c>
      <c r="W11" s="149">
        <v>2</v>
      </c>
      <c r="X11" s="135">
        <v>5</v>
      </c>
      <c r="Y11" s="179">
        <v>4</v>
      </c>
      <c r="Z11" s="179">
        <v>4</v>
      </c>
      <c r="AA11" s="150">
        <v>4</v>
      </c>
      <c r="AB11" s="150">
        <v>4</v>
      </c>
      <c r="AC11" s="150">
        <v>4</v>
      </c>
      <c r="AD11" s="150">
        <v>4</v>
      </c>
      <c r="AE11" s="234" t="s">
        <v>2</v>
      </c>
      <c r="AF11" s="179">
        <v>4</v>
      </c>
      <c r="AG11" s="179">
        <v>4</v>
      </c>
      <c r="AH11" s="248">
        <v>4</v>
      </c>
      <c r="AI11" s="150">
        <v>4</v>
      </c>
      <c r="AJ11" s="13" t="s">
        <v>2</v>
      </c>
      <c r="AK11" s="150">
        <v>4</v>
      </c>
      <c r="AL11" s="136">
        <v>6</v>
      </c>
    </row>
    <row r="12" spans="2:38 16384:16384">
      <c r="B12" s="18" t="s">
        <v>13</v>
      </c>
      <c r="C12" s="13" t="s">
        <v>2</v>
      </c>
      <c r="D12" s="511" t="s">
        <v>76</v>
      </c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3"/>
      <c r="P12" s="9">
        <v>3</v>
      </c>
      <c r="Q12" s="135">
        <v>5</v>
      </c>
      <c r="R12" s="149">
        <v>2</v>
      </c>
      <c r="S12" s="149">
        <v>2</v>
      </c>
      <c r="T12" s="149">
        <v>2</v>
      </c>
      <c r="U12" s="149">
        <v>2</v>
      </c>
      <c r="V12" s="150">
        <v>4</v>
      </c>
      <c r="W12" s="149">
        <v>2</v>
      </c>
      <c r="X12" s="13" t="s">
        <v>2</v>
      </c>
      <c r="Y12" s="149">
        <v>2</v>
      </c>
      <c r="Z12" s="149">
        <v>2</v>
      </c>
      <c r="AA12" s="149">
        <v>2</v>
      </c>
      <c r="AB12" s="149">
        <v>2</v>
      </c>
      <c r="AC12" s="149">
        <v>2</v>
      </c>
      <c r="AD12" s="149">
        <v>2</v>
      </c>
      <c r="AE12" s="234" t="s">
        <v>2</v>
      </c>
      <c r="AF12" s="9">
        <v>3</v>
      </c>
      <c r="AG12" s="9">
        <v>3</v>
      </c>
      <c r="AH12" s="204">
        <v>7</v>
      </c>
      <c r="AI12" s="204">
        <v>7</v>
      </c>
      <c r="AJ12" s="136">
        <v>6</v>
      </c>
      <c r="AK12" s="149">
        <v>2</v>
      </c>
      <c r="AL12" s="13" t="s">
        <v>2</v>
      </c>
    </row>
    <row r="13" spans="2:38 16384:16384">
      <c r="B13" s="18" t="s">
        <v>78</v>
      </c>
      <c r="C13" s="13"/>
      <c r="D13" s="9">
        <v>3</v>
      </c>
      <c r="E13" s="9">
        <v>3</v>
      </c>
      <c r="F13" s="149">
        <v>2</v>
      </c>
      <c r="G13" s="13" t="s">
        <v>2</v>
      </c>
      <c r="H13" s="13" t="s">
        <v>2</v>
      </c>
      <c r="I13" s="9">
        <v>3</v>
      </c>
      <c r="J13" s="13" t="s">
        <v>2</v>
      </c>
      <c r="K13" s="9">
        <v>3</v>
      </c>
      <c r="L13" s="9">
        <v>3</v>
      </c>
      <c r="M13" s="204">
        <v>7</v>
      </c>
      <c r="N13" s="9">
        <v>3</v>
      </c>
      <c r="O13" s="9">
        <v>3</v>
      </c>
      <c r="P13" s="9">
        <v>3</v>
      </c>
      <c r="Q13" s="13" t="s">
        <v>2</v>
      </c>
      <c r="R13" s="204">
        <v>7</v>
      </c>
      <c r="S13" s="204">
        <v>7</v>
      </c>
      <c r="T13" s="204">
        <v>7</v>
      </c>
      <c r="U13" s="204">
        <v>7</v>
      </c>
      <c r="V13" s="204">
        <v>7</v>
      </c>
      <c r="W13" s="204">
        <v>7</v>
      </c>
      <c r="X13" s="13" t="s">
        <v>2</v>
      </c>
      <c r="Y13" s="204">
        <v>7</v>
      </c>
      <c r="Z13" s="204">
        <v>7</v>
      </c>
      <c r="AA13" s="204">
        <v>7</v>
      </c>
      <c r="AB13" s="204">
        <v>7</v>
      </c>
      <c r="AC13" s="204">
        <v>7</v>
      </c>
      <c r="AD13" s="204">
        <v>7</v>
      </c>
      <c r="AE13" s="234" t="s">
        <v>2</v>
      </c>
      <c r="AF13" s="204">
        <v>7</v>
      </c>
      <c r="AG13" s="204">
        <v>7</v>
      </c>
      <c r="AH13" s="238"/>
      <c r="AI13" s="238"/>
      <c r="AJ13" s="238"/>
      <c r="AK13" s="238"/>
      <c r="AL13" s="239"/>
    </row>
    <row r="14" spans="2:38 16384:16384">
      <c r="B14" s="18" t="s">
        <v>14</v>
      </c>
      <c r="C14" s="13" t="s">
        <v>2</v>
      </c>
      <c r="D14" s="149">
        <v>2</v>
      </c>
      <c r="E14" s="149">
        <v>2</v>
      </c>
      <c r="F14" s="149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49">
        <v>2</v>
      </c>
      <c r="L14" s="149">
        <v>2</v>
      </c>
      <c r="M14" s="149">
        <v>2</v>
      </c>
      <c r="N14" s="149">
        <v>2</v>
      </c>
      <c r="O14" s="149">
        <v>2</v>
      </c>
      <c r="P14" s="13" t="s">
        <v>2</v>
      </c>
      <c r="Q14" s="13" t="s">
        <v>2</v>
      </c>
      <c r="R14" s="137">
        <v>1</v>
      </c>
      <c r="S14" s="137">
        <v>1</v>
      </c>
      <c r="T14" s="137">
        <v>1</v>
      </c>
      <c r="U14" s="137">
        <v>1</v>
      </c>
      <c r="V14" s="137">
        <v>1</v>
      </c>
      <c r="W14" s="137">
        <v>1</v>
      </c>
      <c r="X14" s="13" t="s">
        <v>2</v>
      </c>
      <c r="Y14" s="137">
        <v>1</v>
      </c>
      <c r="Z14" s="137">
        <v>1</v>
      </c>
      <c r="AA14" s="137">
        <v>1</v>
      </c>
      <c r="AB14" s="137">
        <v>1</v>
      </c>
      <c r="AC14" s="137">
        <v>1</v>
      </c>
      <c r="AD14" s="137">
        <v>1</v>
      </c>
      <c r="AE14" s="234" t="s">
        <v>2</v>
      </c>
      <c r="AF14" s="137">
        <v>1</v>
      </c>
      <c r="AG14" s="137">
        <v>1</v>
      </c>
      <c r="AH14" s="250">
        <v>1</v>
      </c>
      <c r="AI14" s="137">
        <v>1</v>
      </c>
      <c r="AJ14" s="13" t="s">
        <v>2</v>
      </c>
      <c r="AK14" s="13" t="s">
        <v>2</v>
      </c>
      <c r="AL14" s="13" t="s">
        <v>2</v>
      </c>
    </row>
    <row r="15" spans="2:38 16384:16384" hidden="1">
      <c r="B15" s="18" t="s">
        <v>16</v>
      </c>
      <c r="C15" s="245" t="s">
        <v>2</v>
      </c>
      <c r="D15" s="246">
        <v>1</v>
      </c>
      <c r="E15" s="246">
        <v>1</v>
      </c>
      <c r="F15" s="246">
        <v>1</v>
      </c>
      <c r="G15" s="245" t="s">
        <v>2</v>
      </c>
      <c r="H15" s="245" t="s">
        <v>2</v>
      </c>
      <c r="I15" s="245" t="s">
        <v>15</v>
      </c>
      <c r="J15" s="245" t="s">
        <v>2</v>
      </c>
      <c r="K15" s="245"/>
      <c r="L15" s="245"/>
      <c r="M15" s="245"/>
      <c r="N15" s="245"/>
      <c r="O15" s="13"/>
      <c r="P15" s="13"/>
      <c r="Q15" s="13" t="s">
        <v>2</v>
      </c>
      <c r="R15" s="13"/>
      <c r="S15" s="13"/>
      <c r="T15" s="13"/>
      <c r="U15" s="13"/>
      <c r="V15" s="13"/>
      <c r="W15" s="13"/>
      <c r="X15" s="13" t="s">
        <v>2</v>
      </c>
      <c r="Y15" s="13"/>
      <c r="Z15" s="13"/>
      <c r="AA15" s="13"/>
      <c r="AB15" s="13"/>
      <c r="AC15" s="13"/>
      <c r="AD15" s="13"/>
      <c r="AE15" s="13" t="s">
        <v>2</v>
      </c>
      <c r="AF15" s="208"/>
      <c r="AG15" s="208"/>
      <c r="AH15" s="244"/>
      <c r="AI15" s="244"/>
    </row>
    <row r="16" spans="2:38 16384:16384" hidden="1">
      <c r="B16" s="19" t="s">
        <v>17</v>
      </c>
      <c r="C16" s="245" t="s">
        <v>2</v>
      </c>
      <c r="D16" s="246">
        <v>1</v>
      </c>
      <c r="E16" s="246">
        <v>1</v>
      </c>
      <c r="F16" s="246">
        <v>1</v>
      </c>
      <c r="G16" s="245"/>
      <c r="H16" s="245"/>
      <c r="I16" s="245" t="s">
        <v>2</v>
      </c>
      <c r="J16" s="245" t="s">
        <v>2</v>
      </c>
      <c r="K16" s="245"/>
      <c r="L16" s="245"/>
      <c r="M16" s="245"/>
      <c r="N16" s="245"/>
      <c r="O16" s="13"/>
      <c r="P16" s="13"/>
      <c r="Q16" s="13" t="s">
        <v>2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 t="s">
        <v>2</v>
      </c>
      <c r="AF16" s="13"/>
      <c r="AG16" s="13"/>
      <c r="AH16" s="172"/>
      <c r="AI16" s="172"/>
    </row>
  </sheetData>
  <mergeCells count="3">
    <mergeCell ref="AI7:AL7"/>
    <mergeCell ref="Y8:AA8"/>
    <mergeCell ref="D12:O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A6D8-A309-4165-ADF7-AFFE4A8BDE19}">
  <sheetPr>
    <tabColor rgb="FF7030A0"/>
  </sheetPr>
  <dimension ref="B2:N50"/>
  <sheetViews>
    <sheetView workbookViewId="0">
      <selection activeCell="J38" sqref="J38"/>
    </sheetView>
  </sheetViews>
  <sheetFormatPr defaultRowHeight="15"/>
  <cols>
    <col min="1" max="11" width="12.8554687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1">
      <c r="B18" s="160" t="s">
        <v>28</v>
      </c>
      <c r="C18" s="452" t="s">
        <v>29</v>
      </c>
      <c r="D18" s="453"/>
      <c r="E18" s="161" t="s">
        <v>30</v>
      </c>
      <c r="F18" s="161" t="s">
        <v>31</v>
      </c>
      <c r="G18" s="161" t="s">
        <v>32</v>
      </c>
      <c r="H18" s="161" t="s">
        <v>33</v>
      </c>
      <c r="I18" s="161" t="s">
        <v>34</v>
      </c>
      <c r="J18" s="161" t="s">
        <v>35</v>
      </c>
      <c r="K18" s="161" t="s">
        <v>36</v>
      </c>
    </row>
    <row r="19" spans="2:11">
      <c r="B19" s="450" t="s">
        <v>37</v>
      </c>
      <c r="C19" s="450" t="s">
        <v>56</v>
      </c>
      <c r="D19" s="162" t="s">
        <v>39</v>
      </c>
      <c r="E19" s="163">
        <v>0.25</v>
      </c>
      <c r="F19" s="163">
        <v>0.25</v>
      </c>
      <c r="G19" s="163">
        <v>0.25</v>
      </c>
      <c r="H19" s="163">
        <v>0.25</v>
      </c>
      <c r="I19" s="163">
        <v>0.25</v>
      </c>
      <c r="J19" s="163">
        <v>0.25</v>
      </c>
      <c r="K19" s="163"/>
    </row>
    <row r="20" spans="2:11">
      <c r="B20" s="450"/>
      <c r="C20" s="450"/>
      <c r="D20" s="162" t="s">
        <v>40</v>
      </c>
      <c r="E20" s="163">
        <v>0.54166666666666663</v>
      </c>
      <c r="F20" s="163">
        <v>0.54166666666666663</v>
      </c>
      <c r="G20" s="163">
        <v>0.54166666666666663</v>
      </c>
      <c r="H20" s="163">
        <v>0.54166666666666663</v>
      </c>
      <c r="I20" s="163">
        <v>0.58333333333333337</v>
      </c>
      <c r="J20" s="163">
        <v>0.58333333333333337</v>
      </c>
      <c r="K20" s="163"/>
    </row>
    <row r="21" spans="2:11">
      <c r="B21" s="450"/>
      <c r="C21" s="451"/>
      <c r="D21" s="164" t="s">
        <v>36</v>
      </c>
      <c r="E21" s="165">
        <f t="shared" ref="E21:J21" si="2">E20-E19</f>
        <v>0.29166666666666663</v>
      </c>
      <c r="F21" s="165">
        <f t="shared" si="2"/>
        <v>0.29166666666666663</v>
      </c>
      <c r="G21" s="165">
        <f t="shared" si="2"/>
        <v>0.29166666666666663</v>
      </c>
      <c r="H21" s="165">
        <f t="shared" si="2"/>
        <v>0.29166666666666663</v>
      </c>
      <c r="I21" s="165">
        <f t="shared" si="2"/>
        <v>0.33333333333333337</v>
      </c>
      <c r="J21" s="165">
        <f t="shared" si="2"/>
        <v>0.33333333333333337</v>
      </c>
      <c r="K21" s="165"/>
    </row>
    <row r="22" spans="2:11">
      <c r="B22" s="69"/>
      <c r="C22" s="454" t="s">
        <v>41</v>
      </c>
      <c r="D22" s="454"/>
      <c r="E22" s="166">
        <v>7</v>
      </c>
      <c r="F22" s="166">
        <v>7</v>
      </c>
      <c r="G22" s="166">
        <v>7</v>
      </c>
      <c r="H22" s="166">
        <v>7</v>
      </c>
      <c r="I22" s="166">
        <v>8</v>
      </c>
      <c r="J22" s="166">
        <v>8</v>
      </c>
      <c r="K22" s="166">
        <f>SUM(E22:J22)</f>
        <v>44</v>
      </c>
    </row>
    <row r="23" spans="2:11">
      <c r="C23" s="455" t="s">
        <v>44</v>
      </c>
      <c r="D23" s="456"/>
      <c r="E23" s="167" t="s">
        <v>49</v>
      </c>
      <c r="F23" s="167" t="s">
        <v>49</v>
      </c>
      <c r="G23" s="167" t="s">
        <v>49</v>
      </c>
      <c r="H23" s="167" t="s">
        <v>49</v>
      </c>
      <c r="I23" s="167" t="s">
        <v>49</v>
      </c>
      <c r="J23" s="167" t="s">
        <v>46</v>
      </c>
      <c r="K23" s="168"/>
    </row>
    <row r="26" spans="2:11">
      <c r="B26" s="151" t="s">
        <v>28</v>
      </c>
      <c r="C26" s="457" t="s">
        <v>29</v>
      </c>
      <c r="D26" s="458"/>
      <c r="E26" s="152" t="s">
        <v>30</v>
      </c>
      <c r="F26" s="152" t="s">
        <v>31</v>
      </c>
      <c r="G26" s="152" t="s">
        <v>32</v>
      </c>
      <c r="H26" s="152" t="s">
        <v>33</v>
      </c>
      <c r="I26" s="152" t="s">
        <v>34</v>
      </c>
      <c r="J26" s="152" t="s">
        <v>35</v>
      </c>
      <c r="K26" s="152" t="s">
        <v>36</v>
      </c>
    </row>
    <row r="27" spans="2:11">
      <c r="B27" s="459" t="s">
        <v>37</v>
      </c>
      <c r="C27" s="459" t="s">
        <v>57</v>
      </c>
      <c r="D27" s="153" t="s">
        <v>39</v>
      </c>
      <c r="E27" s="154">
        <v>0.54166666666666663</v>
      </c>
      <c r="F27" s="154">
        <v>0.54166666666666663</v>
      </c>
      <c r="G27" s="154">
        <v>0.58333333333333337</v>
      </c>
      <c r="H27" s="154">
        <v>0.58333333333333337</v>
      </c>
      <c r="I27" s="154">
        <v>0.58333333333333337</v>
      </c>
      <c r="J27" s="154">
        <v>0.58333333333333337</v>
      </c>
      <c r="K27" s="154"/>
    </row>
    <row r="28" spans="2:11">
      <c r="B28" s="459"/>
      <c r="C28" s="459"/>
      <c r="D28" s="153" t="s">
        <v>40</v>
      </c>
      <c r="E28" s="154">
        <v>0.875</v>
      </c>
      <c r="F28" s="154">
        <v>0.875</v>
      </c>
      <c r="G28" s="154">
        <v>0.875</v>
      </c>
      <c r="H28" s="154">
        <v>0.875</v>
      </c>
      <c r="I28" s="154">
        <v>0.875</v>
      </c>
      <c r="J28" s="154">
        <v>0.875</v>
      </c>
      <c r="K28" s="154"/>
    </row>
    <row r="29" spans="2:11">
      <c r="B29" s="459"/>
      <c r="C29" s="460"/>
      <c r="D29" s="155" t="s">
        <v>36</v>
      </c>
      <c r="E29" s="156">
        <f>E28-E27</f>
        <v>0.33333333333333337</v>
      </c>
      <c r="F29" s="156">
        <f>F28-F27</f>
        <v>0.33333333333333337</v>
      </c>
      <c r="G29" s="156">
        <f>G28-G27</f>
        <v>0.29166666666666663</v>
      </c>
      <c r="H29" s="156">
        <f>H28-H27</f>
        <v>0.29166666666666663</v>
      </c>
      <c r="I29" s="156">
        <f>I28-I27</f>
        <v>0.29166666666666663</v>
      </c>
      <c r="J29" s="156">
        <f>J28-J27</f>
        <v>0.29166666666666663</v>
      </c>
      <c r="K29" s="156"/>
    </row>
    <row r="30" spans="2:11">
      <c r="B30" s="69"/>
      <c r="C30" s="461" t="s">
        <v>41</v>
      </c>
      <c r="D30" s="461"/>
      <c r="E30" s="157">
        <v>8</v>
      </c>
      <c r="F30" s="157">
        <v>8</v>
      </c>
      <c r="G30" s="157">
        <v>7</v>
      </c>
      <c r="H30" s="157">
        <v>7</v>
      </c>
      <c r="I30" s="157">
        <v>7</v>
      </c>
      <c r="J30" s="157">
        <v>7</v>
      </c>
      <c r="K30" s="157">
        <f>SUM(E30:J30)</f>
        <v>44</v>
      </c>
    </row>
    <row r="31" spans="2:11">
      <c r="C31" s="462" t="s">
        <v>44</v>
      </c>
      <c r="D31" s="463"/>
      <c r="E31" s="158" t="s">
        <v>49</v>
      </c>
      <c r="F31" s="158" t="s">
        <v>49</v>
      </c>
      <c r="G31" s="158" t="s">
        <v>49</v>
      </c>
      <c r="H31" s="158" t="s">
        <v>49</v>
      </c>
      <c r="I31" s="158" t="s">
        <v>49</v>
      </c>
      <c r="J31" s="158" t="s">
        <v>49</v>
      </c>
      <c r="K31" s="159"/>
    </row>
    <row r="34" spans="2:14">
      <c r="B34" s="191" t="s">
        <v>28</v>
      </c>
      <c r="C34" s="498" t="s">
        <v>29</v>
      </c>
      <c r="D34" s="499"/>
      <c r="E34" s="192" t="s">
        <v>30</v>
      </c>
      <c r="F34" s="192" t="s">
        <v>31</v>
      </c>
      <c r="G34" s="192" t="s">
        <v>32</v>
      </c>
      <c r="H34" s="192" t="s">
        <v>33</v>
      </c>
      <c r="I34" s="192" t="s">
        <v>34</v>
      </c>
      <c r="J34" s="192" t="s">
        <v>35</v>
      </c>
      <c r="K34" s="192" t="s">
        <v>36</v>
      </c>
    </row>
    <row r="35" spans="2:14">
      <c r="B35" s="500" t="s">
        <v>37</v>
      </c>
      <c r="C35" s="501" t="s">
        <v>79</v>
      </c>
      <c r="D35" s="193" t="s">
        <v>39</v>
      </c>
      <c r="E35" s="194">
        <v>0.4375</v>
      </c>
      <c r="F35" s="194">
        <v>0.4375</v>
      </c>
      <c r="G35" s="194">
        <v>0.4375</v>
      </c>
      <c r="H35" s="194">
        <v>0.4375</v>
      </c>
      <c r="I35" s="194">
        <v>0.45833333333333331</v>
      </c>
      <c r="J35" s="194">
        <v>0.45833333333333331</v>
      </c>
      <c r="K35" s="194"/>
    </row>
    <row r="36" spans="2:14">
      <c r="B36" s="500"/>
      <c r="C36" s="502"/>
      <c r="D36" s="193" t="s">
        <v>40</v>
      </c>
      <c r="E36" s="194">
        <v>0.79166666666666663</v>
      </c>
      <c r="F36" s="194">
        <v>0.79166666666666663</v>
      </c>
      <c r="G36" s="194">
        <v>0.79166666666666663</v>
      </c>
      <c r="H36" s="194">
        <v>0.79166666666666663</v>
      </c>
      <c r="I36" s="194">
        <v>0.79166666666666663</v>
      </c>
      <c r="J36" s="194">
        <v>0.79166666666666663</v>
      </c>
      <c r="K36" s="194"/>
    </row>
    <row r="37" spans="2:14">
      <c r="B37" s="500"/>
      <c r="C37" s="503"/>
      <c r="D37" s="195" t="s">
        <v>36</v>
      </c>
      <c r="E37" s="196">
        <f>E36-E35</f>
        <v>0.35416666666666663</v>
      </c>
      <c r="F37" s="196">
        <f>F36-F35</f>
        <v>0.35416666666666663</v>
      </c>
      <c r="G37" s="196">
        <f>G36-G35</f>
        <v>0.35416666666666663</v>
      </c>
      <c r="H37" s="196">
        <f>H36-H35</f>
        <v>0.35416666666666663</v>
      </c>
      <c r="I37" s="196">
        <f>I36-I35</f>
        <v>0.33333333333333331</v>
      </c>
      <c r="J37" s="196">
        <f>J36-J35</f>
        <v>0.33333333333333331</v>
      </c>
      <c r="K37" s="196"/>
    </row>
    <row r="38" spans="2:14">
      <c r="B38" s="69"/>
      <c r="C38" s="494" t="s">
        <v>41</v>
      </c>
      <c r="D38" s="495"/>
      <c r="E38" s="197" t="s">
        <v>42</v>
      </c>
      <c r="F38" s="197" t="s">
        <v>42</v>
      </c>
      <c r="G38" s="197" t="s">
        <v>42</v>
      </c>
      <c r="H38" s="197" t="s">
        <v>42</v>
      </c>
      <c r="I38" s="197">
        <v>7</v>
      </c>
      <c r="J38" s="197">
        <v>7</v>
      </c>
      <c r="K38" s="197">
        <v>44</v>
      </c>
    </row>
    <row r="39" spans="2:14">
      <c r="C39" s="496" t="s">
        <v>44</v>
      </c>
      <c r="D39" s="497"/>
      <c r="E39" s="198" t="s">
        <v>80</v>
      </c>
      <c r="F39" s="198" t="s">
        <v>80</v>
      </c>
      <c r="G39" s="198" t="s">
        <v>80</v>
      </c>
      <c r="H39" s="198" t="s">
        <v>80</v>
      </c>
      <c r="I39" s="198" t="s">
        <v>80</v>
      </c>
      <c r="J39" s="198" t="s">
        <v>80</v>
      </c>
      <c r="K39" s="199"/>
    </row>
    <row r="42" spans="2:14" ht="29.25">
      <c r="B42" s="128" t="s">
        <v>28</v>
      </c>
      <c r="C42" s="442" t="s">
        <v>29</v>
      </c>
      <c r="D42" s="442"/>
      <c r="E42" s="131" t="s">
        <v>51</v>
      </c>
    </row>
    <row r="43" spans="2:14">
      <c r="B43" s="443" t="s">
        <v>37</v>
      </c>
      <c r="C43" s="443" t="s">
        <v>58</v>
      </c>
      <c r="D43" s="129" t="s">
        <v>39</v>
      </c>
      <c r="E43" s="130">
        <v>0.25</v>
      </c>
    </row>
    <row r="44" spans="2:14">
      <c r="B44" s="443"/>
      <c r="C44" s="443"/>
      <c r="D44" s="129" t="s">
        <v>40</v>
      </c>
      <c r="E44" s="130">
        <v>0.58333333333333337</v>
      </c>
    </row>
    <row r="45" spans="2:14">
      <c r="B45" s="443"/>
      <c r="C45" s="443"/>
      <c r="D45" s="129" t="s">
        <v>36</v>
      </c>
      <c r="E45" s="130">
        <f>E44-E43</f>
        <v>0.33333333333333337</v>
      </c>
    </row>
    <row r="47" spans="2:14" ht="29.25">
      <c r="B47" s="106" t="s">
        <v>28</v>
      </c>
      <c r="C47" s="441" t="s">
        <v>29</v>
      </c>
      <c r="D47" s="441"/>
      <c r="E47" s="132" t="s">
        <v>51</v>
      </c>
      <c r="N47">
        <v>3</v>
      </c>
    </row>
    <row r="48" spans="2:14">
      <c r="B48" s="435" t="s">
        <v>37</v>
      </c>
      <c r="C48" s="435" t="s">
        <v>59</v>
      </c>
      <c r="D48" s="126" t="s">
        <v>39</v>
      </c>
      <c r="E48" s="127">
        <v>0.5</v>
      </c>
    </row>
    <row r="49" spans="2:5">
      <c r="B49" s="435"/>
      <c r="C49" s="435"/>
      <c r="D49" s="126" t="s">
        <v>40</v>
      </c>
      <c r="E49" s="127">
        <v>0.83333333333333337</v>
      </c>
    </row>
    <row r="50" spans="2:5">
      <c r="B50" s="435"/>
      <c r="C50" s="435"/>
      <c r="D50" s="126" t="s">
        <v>36</v>
      </c>
      <c r="E50" s="127">
        <f>E49-E48</f>
        <v>0.33333333333333337</v>
      </c>
    </row>
  </sheetData>
  <mergeCells count="31">
    <mergeCell ref="B19:B21"/>
    <mergeCell ref="C19:C21"/>
    <mergeCell ref="C2:D2"/>
    <mergeCell ref="B3:B5"/>
    <mergeCell ref="C3:C5"/>
    <mergeCell ref="C6:D6"/>
    <mergeCell ref="C7:D7"/>
    <mergeCell ref="C10:D10"/>
    <mergeCell ref="B11:B13"/>
    <mergeCell ref="C11:C13"/>
    <mergeCell ref="C14:D14"/>
    <mergeCell ref="C15:D15"/>
    <mergeCell ref="C18:D18"/>
    <mergeCell ref="C39:D39"/>
    <mergeCell ref="C22:D22"/>
    <mergeCell ref="C23:D23"/>
    <mergeCell ref="C26:D26"/>
    <mergeCell ref="B27:B29"/>
    <mergeCell ref="C27:C29"/>
    <mergeCell ref="C30:D30"/>
    <mergeCell ref="C31:D31"/>
    <mergeCell ref="C34:D34"/>
    <mergeCell ref="B35:B37"/>
    <mergeCell ref="C35:C37"/>
    <mergeCell ref="C38:D38"/>
    <mergeCell ref="C42:D42"/>
    <mergeCell ref="B43:B45"/>
    <mergeCell ref="C43:C45"/>
    <mergeCell ref="C47:D47"/>
    <mergeCell ref="B48:B50"/>
    <mergeCell ref="C48:C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9676-1ECE-4FD6-8345-A54C638B775A}">
  <sheetPr>
    <tabColor rgb="FF7030A0"/>
  </sheetPr>
  <dimension ref="B3:AN18"/>
  <sheetViews>
    <sheetView showGridLines="0" topLeftCell="B1" workbookViewId="0">
      <selection activeCell="N14" sqref="N14"/>
    </sheetView>
  </sheetViews>
  <sheetFormatPr defaultRowHeight="15"/>
  <cols>
    <col min="2" max="2" width="56.42578125" customWidth="1"/>
    <col min="3" max="22" width="3.42578125" customWidth="1"/>
    <col min="23" max="34" width="3.7109375" customWidth="1"/>
    <col min="37" max="37" width="18.28515625" customWidth="1"/>
    <col min="40" max="40" width="10.140625" bestFit="1" customWidth="1"/>
  </cols>
  <sheetData>
    <row r="3" spans="2:37">
      <c r="B3" t="s">
        <v>91</v>
      </c>
    </row>
    <row r="4" spans="2:37">
      <c r="B4" s="1"/>
      <c r="C4" s="267">
        <v>30</v>
      </c>
      <c r="D4" s="268">
        <v>1</v>
      </c>
      <c r="E4" s="268">
        <v>2</v>
      </c>
      <c r="F4" s="268">
        <v>3</v>
      </c>
      <c r="G4" s="268">
        <v>4</v>
      </c>
      <c r="H4" s="268">
        <v>5</v>
      </c>
      <c r="I4" s="268">
        <v>6</v>
      </c>
      <c r="J4" s="268">
        <v>7</v>
      </c>
      <c r="K4" s="268">
        <v>8</v>
      </c>
      <c r="L4" s="268">
        <v>9</v>
      </c>
      <c r="M4" s="268">
        <v>10</v>
      </c>
      <c r="N4" s="268">
        <v>11</v>
      </c>
      <c r="O4" s="268">
        <v>12</v>
      </c>
      <c r="P4" s="268">
        <v>13</v>
      </c>
      <c r="Q4" s="268">
        <v>14</v>
      </c>
      <c r="R4" s="268">
        <v>15</v>
      </c>
      <c r="S4" s="268">
        <v>16</v>
      </c>
      <c r="T4" s="268">
        <v>17</v>
      </c>
      <c r="U4" s="268">
        <v>18</v>
      </c>
      <c r="V4" s="268">
        <v>19</v>
      </c>
      <c r="W4" s="268">
        <v>20</v>
      </c>
      <c r="X4" s="268">
        <v>21</v>
      </c>
      <c r="Y4" s="268">
        <v>22</v>
      </c>
      <c r="Z4" s="268">
        <v>23</v>
      </c>
      <c r="AA4" s="268">
        <v>24</v>
      </c>
      <c r="AB4" s="268">
        <v>25</v>
      </c>
      <c r="AC4" s="268">
        <v>26</v>
      </c>
      <c r="AD4" s="268">
        <v>27</v>
      </c>
      <c r="AE4" s="268">
        <v>28</v>
      </c>
      <c r="AF4" s="268">
        <v>29</v>
      </c>
      <c r="AG4" s="268">
        <v>30</v>
      </c>
      <c r="AH4" s="268">
        <v>31</v>
      </c>
    </row>
    <row r="5" spans="2:37">
      <c r="B5" s="14" t="s">
        <v>1</v>
      </c>
      <c r="C5" s="134" t="s">
        <v>4</v>
      </c>
      <c r="D5" s="133" t="s">
        <v>5</v>
      </c>
      <c r="E5" s="134" t="s">
        <v>6</v>
      </c>
      <c r="F5" s="133" t="s">
        <v>7</v>
      </c>
      <c r="G5" s="134" t="s">
        <v>2</v>
      </c>
      <c r="H5" s="134" t="s">
        <v>3</v>
      </c>
      <c r="I5" s="134" t="s">
        <v>3</v>
      </c>
      <c r="J5" s="134" t="s">
        <v>4</v>
      </c>
      <c r="K5" s="134" t="s">
        <v>5</v>
      </c>
      <c r="L5" s="134" t="s">
        <v>6</v>
      </c>
      <c r="M5" s="133" t="s">
        <v>7</v>
      </c>
      <c r="N5" s="134" t="s">
        <v>2</v>
      </c>
      <c r="O5" s="134" t="s">
        <v>3</v>
      </c>
      <c r="P5" s="134" t="s">
        <v>3</v>
      </c>
      <c r="Q5" s="134" t="s">
        <v>4</v>
      </c>
      <c r="R5" s="134" t="s">
        <v>5</v>
      </c>
      <c r="S5" s="134" t="s">
        <v>6</v>
      </c>
      <c r="T5" s="133" t="s">
        <v>7</v>
      </c>
      <c r="U5" s="133" t="s">
        <v>2</v>
      </c>
      <c r="V5" s="134" t="s">
        <v>3</v>
      </c>
      <c r="W5" s="134" t="s">
        <v>3</v>
      </c>
      <c r="X5" s="134" t="s">
        <v>4</v>
      </c>
      <c r="Y5" s="134" t="s">
        <v>5</v>
      </c>
      <c r="Z5" s="134" t="s">
        <v>6</v>
      </c>
      <c r="AA5" s="133" t="s">
        <v>7</v>
      </c>
      <c r="AB5" s="134" t="s">
        <v>2</v>
      </c>
      <c r="AC5" s="134" t="s">
        <v>3</v>
      </c>
      <c r="AD5" s="134" t="s">
        <v>3</v>
      </c>
      <c r="AE5" s="134" t="s">
        <v>4</v>
      </c>
      <c r="AF5" s="134" t="s">
        <v>5</v>
      </c>
      <c r="AG5" s="134" t="s">
        <v>6</v>
      </c>
      <c r="AH5" s="133" t="s">
        <v>7</v>
      </c>
    </row>
    <row r="6" spans="2:37">
      <c r="B6" s="15" t="s">
        <v>8</v>
      </c>
      <c r="C6" s="507" t="s">
        <v>76</v>
      </c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  <c r="X6" s="507"/>
      <c r="Y6" s="507"/>
      <c r="Z6" s="149">
        <v>2</v>
      </c>
      <c r="AA6" s="136">
        <v>6</v>
      </c>
      <c r="AB6" s="149">
        <v>2</v>
      </c>
      <c r="AC6" s="149">
        <v>2</v>
      </c>
      <c r="AD6" s="149">
        <v>2</v>
      </c>
      <c r="AE6" s="149">
        <v>2</v>
      </c>
      <c r="AF6" s="149">
        <v>2</v>
      </c>
      <c r="AG6" s="149">
        <v>2</v>
      </c>
      <c r="AH6" s="13" t="s">
        <v>2</v>
      </c>
    </row>
    <row r="7" spans="2:37">
      <c r="B7" s="15" t="s">
        <v>9</v>
      </c>
      <c r="C7" s="150">
        <v>4</v>
      </c>
      <c r="D7" s="13" t="s">
        <v>2</v>
      </c>
      <c r="E7" s="150">
        <v>4</v>
      </c>
      <c r="F7" s="135">
        <v>5</v>
      </c>
      <c r="G7" s="179">
        <v>4</v>
      </c>
      <c r="H7" s="179">
        <v>4</v>
      </c>
      <c r="I7" s="179">
        <v>4</v>
      </c>
      <c r="J7" s="179">
        <v>4</v>
      </c>
      <c r="K7" s="179">
        <v>4</v>
      </c>
      <c r="L7" s="179">
        <v>4</v>
      </c>
      <c r="M7" s="13" t="s">
        <v>2</v>
      </c>
      <c r="N7" s="9">
        <v>3</v>
      </c>
      <c r="O7" s="179">
        <v>4</v>
      </c>
      <c r="P7" s="179">
        <v>4</v>
      </c>
      <c r="Q7" s="9">
        <v>3</v>
      </c>
      <c r="R7" s="9">
        <v>3</v>
      </c>
      <c r="S7" s="9">
        <v>3</v>
      </c>
      <c r="T7" s="13" t="s">
        <v>2</v>
      </c>
      <c r="U7" s="13" t="s">
        <v>2</v>
      </c>
      <c r="V7" s="200">
        <v>7</v>
      </c>
      <c r="W7" s="264">
        <v>3</v>
      </c>
      <c r="X7" s="264">
        <v>3</v>
      </c>
      <c r="Y7" s="264">
        <v>3</v>
      </c>
      <c r="Z7" s="264">
        <v>3</v>
      </c>
      <c r="AA7" s="13" t="s">
        <v>2</v>
      </c>
      <c r="AB7" s="264">
        <v>3</v>
      </c>
      <c r="AC7" s="200">
        <v>7</v>
      </c>
      <c r="AD7" s="264">
        <v>3</v>
      </c>
      <c r="AE7" s="264">
        <v>3</v>
      </c>
      <c r="AF7" s="264">
        <v>3</v>
      </c>
      <c r="AG7" s="264">
        <v>3</v>
      </c>
      <c r="AH7" s="135">
        <v>5</v>
      </c>
    </row>
    <row r="8" spans="2:37">
      <c r="B8" s="16" t="s">
        <v>10</v>
      </c>
      <c r="C8" s="9">
        <v>3</v>
      </c>
      <c r="D8" s="135">
        <v>5</v>
      </c>
      <c r="E8" s="9">
        <v>3</v>
      </c>
      <c r="F8" s="13" t="s">
        <v>2</v>
      </c>
      <c r="G8" s="9">
        <v>3</v>
      </c>
      <c r="H8" s="9">
        <v>3</v>
      </c>
      <c r="I8" s="179">
        <v>4</v>
      </c>
      <c r="J8" s="9">
        <v>3</v>
      </c>
      <c r="K8" s="9">
        <v>3</v>
      </c>
      <c r="L8" s="9">
        <v>3</v>
      </c>
      <c r="M8" s="13" t="s">
        <v>2</v>
      </c>
      <c r="N8" s="179">
        <v>4</v>
      </c>
      <c r="O8" s="9">
        <v>3</v>
      </c>
      <c r="P8" s="179">
        <v>4</v>
      </c>
      <c r="Q8" s="179">
        <v>4</v>
      </c>
      <c r="R8" s="179">
        <v>4</v>
      </c>
      <c r="S8" s="179">
        <v>4</v>
      </c>
      <c r="T8" s="135">
        <v>5</v>
      </c>
      <c r="U8" s="135">
        <v>5</v>
      </c>
      <c r="V8" s="264">
        <v>3</v>
      </c>
      <c r="W8" s="264">
        <v>3</v>
      </c>
      <c r="X8" s="179">
        <v>4</v>
      </c>
      <c r="Y8" s="179">
        <v>4</v>
      </c>
      <c r="Z8" s="179">
        <v>4</v>
      </c>
      <c r="AA8" s="13" t="s">
        <v>2</v>
      </c>
      <c r="AB8" s="200">
        <v>7</v>
      </c>
      <c r="AC8" s="264">
        <v>3</v>
      </c>
      <c r="AD8" s="200">
        <v>7</v>
      </c>
      <c r="AE8" s="200">
        <v>7</v>
      </c>
      <c r="AF8" s="200">
        <v>7</v>
      </c>
      <c r="AG8" s="200">
        <v>7</v>
      </c>
      <c r="AH8" s="13" t="s">
        <v>2</v>
      </c>
    </row>
    <row r="9" spans="2:37">
      <c r="B9" s="17" t="s">
        <v>11</v>
      </c>
      <c r="C9" s="9">
        <v>3</v>
      </c>
      <c r="D9" s="13" t="s">
        <v>2</v>
      </c>
      <c r="E9" s="9">
        <v>3</v>
      </c>
      <c r="F9" s="13" t="s">
        <v>2</v>
      </c>
      <c r="G9" s="179">
        <v>4</v>
      </c>
      <c r="H9" s="179">
        <v>4</v>
      </c>
      <c r="I9" s="9">
        <v>3</v>
      </c>
      <c r="J9" s="179">
        <v>4</v>
      </c>
      <c r="K9" s="179">
        <v>4</v>
      </c>
      <c r="L9" s="179">
        <v>4</v>
      </c>
      <c r="M9" s="13" t="s">
        <v>2</v>
      </c>
      <c r="N9" s="179">
        <v>4</v>
      </c>
      <c r="O9" s="9">
        <v>3</v>
      </c>
      <c r="P9" s="9">
        <v>3</v>
      </c>
      <c r="Q9" s="179">
        <v>4</v>
      </c>
      <c r="R9" s="179">
        <v>4</v>
      </c>
      <c r="S9" s="179">
        <v>4</v>
      </c>
      <c r="T9" s="136">
        <v>6</v>
      </c>
      <c r="U9" s="136">
        <v>6</v>
      </c>
      <c r="V9" s="264">
        <v>3</v>
      </c>
      <c r="W9" s="179">
        <v>4</v>
      </c>
      <c r="X9" s="264">
        <v>3</v>
      </c>
      <c r="Y9" s="264">
        <v>3</v>
      </c>
      <c r="Z9" s="264">
        <v>3</v>
      </c>
      <c r="AA9" s="135">
        <v>5</v>
      </c>
      <c r="AB9" s="264">
        <v>3</v>
      </c>
      <c r="AC9" s="264">
        <v>3</v>
      </c>
      <c r="AD9" s="264">
        <v>3</v>
      </c>
      <c r="AE9" s="179">
        <v>4</v>
      </c>
      <c r="AF9" s="264">
        <v>3</v>
      </c>
      <c r="AG9" s="264">
        <v>3</v>
      </c>
      <c r="AH9" s="13" t="s">
        <v>2</v>
      </c>
    </row>
    <row r="10" spans="2:37">
      <c r="B10" s="17" t="s">
        <v>12</v>
      </c>
      <c r="C10" s="150">
        <v>4</v>
      </c>
      <c r="D10" s="13" t="s">
        <v>2</v>
      </c>
      <c r="E10" s="150">
        <v>4</v>
      </c>
      <c r="F10" s="136">
        <v>6</v>
      </c>
      <c r="G10" s="149">
        <v>2</v>
      </c>
      <c r="H10" s="149">
        <v>2</v>
      </c>
      <c r="I10" s="149">
        <v>2</v>
      </c>
      <c r="J10" s="149">
        <v>2</v>
      </c>
      <c r="K10" s="149">
        <v>2</v>
      </c>
      <c r="L10" s="149">
        <v>2</v>
      </c>
      <c r="M10" s="136">
        <v>6</v>
      </c>
      <c r="N10" s="200">
        <v>7</v>
      </c>
      <c r="O10" s="200">
        <v>7</v>
      </c>
      <c r="P10" s="200">
        <v>7</v>
      </c>
      <c r="Q10" s="200">
        <v>7</v>
      </c>
      <c r="R10" s="200">
        <v>7</v>
      </c>
      <c r="S10" s="200">
        <v>7</v>
      </c>
      <c r="T10" s="13" t="s">
        <v>2</v>
      </c>
      <c r="U10" s="13" t="s">
        <v>2</v>
      </c>
      <c r="V10" s="179">
        <v>4</v>
      </c>
      <c r="W10" s="200">
        <v>7</v>
      </c>
      <c r="X10" s="200">
        <v>7</v>
      </c>
      <c r="Y10" s="200">
        <v>7</v>
      </c>
      <c r="Z10" s="200">
        <v>7</v>
      </c>
      <c r="AA10" s="13" t="s">
        <v>2</v>
      </c>
      <c r="AB10" s="179">
        <v>4</v>
      </c>
      <c r="AC10" s="179">
        <v>4</v>
      </c>
      <c r="AD10" s="179">
        <v>4</v>
      </c>
      <c r="AE10" s="179">
        <v>4</v>
      </c>
      <c r="AF10" s="179">
        <v>4</v>
      </c>
      <c r="AG10" s="179">
        <v>4</v>
      </c>
      <c r="AH10" s="266">
        <v>6</v>
      </c>
    </row>
    <row r="11" spans="2:37">
      <c r="B11" s="18" t="s">
        <v>92</v>
      </c>
      <c r="C11" s="514"/>
      <c r="D11" s="514"/>
      <c r="E11" s="514"/>
      <c r="F11" s="514"/>
      <c r="G11" s="514"/>
      <c r="H11" s="514"/>
      <c r="I11" s="514"/>
      <c r="J11" s="137">
        <v>1</v>
      </c>
      <c r="K11" s="137">
        <v>1</v>
      </c>
      <c r="L11" s="137">
        <v>1</v>
      </c>
      <c r="M11" s="13" t="s">
        <v>2</v>
      </c>
      <c r="N11" s="137">
        <v>1</v>
      </c>
      <c r="O11" s="137">
        <v>1</v>
      </c>
      <c r="P11" s="137">
        <v>1</v>
      </c>
      <c r="Q11" s="137">
        <v>1</v>
      </c>
      <c r="R11" s="137">
        <v>1</v>
      </c>
      <c r="S11" s="137">
        <v>1</v>
      </c>
      <c r="T11" s="13" t="s">
        <v>2</v>
      </c>
      <c r="U11" s="13" t="s">
        <v>2</v>
      </c>
      <c r="V11" s="137">
        <v>1</v>
      </c>
      <c r="W11" s="137">
        <v>1</v>
      </c>
      <c r="X11" s="137">
        <v>1</v>
      </c>
      <c r="Y11" s="137">
        <v>1</v>
      </c>
      <c r="Z11" s="137">
        <v>1</v>
      </c>
      <c r="AA11" s="13" t="s">
        <v>2</v>
      </c>
      <c r="AB11" s="137">
        <v>1</v>
      </c>
      <c r="AC11" s="137">
        <v>1</v>
      </c>
      <c r="AD11" s="137">
        <v>1</v>
      </c>
      <c r="AE11" s="137">
        <v>1</v>
      </c>
      <c r="AF11" s="137">
        <v>1</v>
      </c>
      <c r="AG11" s="137">
        <v>1</v>
      </c>
      <c r="AH11" s="13" t="s">
        <v>2</v>
      </c>
    </row>
    <row r="12" spans="2:37">
      <c r="B12" s="18" t="s">
        <v>14</v>
      </c>
      <c r="C12" s="137">
        <v>1</v>
      </c>
      <c r="D12" s="13" t="s">
        <v>2</v>
      </c>
      <c r="E12" s="13" t="s">
        <v>2</v>
      </c>
      <c r="F12" s="13" t="s">
        <v>2</v>
      </c>
      <c r="G12" s="137">
        <v>1</v>
      </c>
      <c r="H12" s="137">
        <v>1</v>
      </c>
      <c r="I12" s="137">
        <v>1</v>
      </c>
      <c r="J12" s="137">
        <v>1</v>
      </c>
      <c r="K12" s="137">
        <v>1</v>
      </c>
      <c r="L12" s="137">
        <v>1</v>
      </c>
      <c r="M12" s="13" t="s">
        <v>2</v>
      </c>
      <c r="N12" s="137">
        <v>1</v>
      </c>
      <c r="O12" s="137">
        <v>1</v>
      </c>
      <c r="P12" s="137">
        <v>1</v>
      </c>
      <c r="Q12" s="137">
        <v>1</v>
      </c>
      <c r="R12" s="137">
        <v>1</v>
      </c>
      <c r="S12" s="137">
        <v>1</v>
      </c>
      <c r="T12" s="13" t="s">
        <v>2</v>
      </c>
      <c r="U12" s="13" t="s">
        <v>2</v>
      </c>
      <c r="V12" s="137">
        <v>1</v>
      </c>
      <c r="W12" s="137">
        <v>1</v>
      </c>
      <c r="X12" s="137">
        <v>1</v>
      </c>
      <c r="Y12" s="137">
        <v>1</v>
      </c>
      <c r="Z12" s="137">
        <v>1</v>
      </c>
      <c r="AA12" s="13" t="s">
        <v>2</v>
      </c>
      <c r="AB12" s="511" t="s">
        <v>76</v>
      </c>
      <c r="AC12" s="512"/>
      <c r="AD12" s="512"/>
      <c r="AE12" s="512"/>
      <c r="AF12" s="512"/>
      <c r="AG12" s="513"/>
      <c r="AH12" s="13" t="s">
        <v>2</v>
      </c>
    </row>
    <row r="13" spans="2:37">
      <c r="B13" s="18" t="s">
        <v>13</v>
      </c>
      <c r="C13" s="200">
        <v>7</v>
      </c>
      <c r="D13" s="136">
        <v>6</v>
      </c>
      <c r="E13" s="149">
        <v>2</v>
      </c>
      <c r="F13" s="13" t="s">
        <v>2</v>
      </c>
      <c r="G13" s="9">
        <v>3</v>
      </c>
      <c r="H13" s="9">
        <v>3</v>
      </c>
      <c r="I13" s="9">
        <v>3</v>
      </c>
      <c r="J13" s="9">
        <v>3</v>
      </c>
      <c r="K13" s="9">
        <v>3</v>
      </c>
      <c r="L13" s="9">
        <v>3</v>
      </c>
      <c r="M13" s="135">
        <v>5</v>
      </c>
      <c r="N13" s="9">
        <v>3</v>
      </c>
      <c r="O13" s="179">
        <v>4</v>
      </c>
      <c r="P13" s="9">
        <v>3</v>
      </c>
      <c r="Q13" s="9">
        <v>3</v>
      </c>
      <c r="R13" s="9">
        <v>3</v>
      </c>
      <c r="S13" s="9">
        <v>3</v>
      </c>
      <c r="T13" s="13" t="s">
        <v>2</v>
      </c>
      <c r="U13" s="13" t="s">
        <v>2</v>
      </c>
      <c r="V13" s="179">
        <v>4</v>
      </c>
      <c r="W13" s="179">
        <v>4</v>
      </c>
      <c r="X13" s="179">
        <v>4</v>
      </c>
      <c r="Y13" s="179">
        <v>4</v>
      </c>
      <c r="Z13" s="179">
        <v>4</v>
      </c>
      <c r="AA13" s="245"/>
      <c r="AB13" s="179">
        <v>4</v>
      </c>
      <c r="AC13" s="179">
        <v>4</v>
      </c>
      <c r="AD13" s="179">
        <v>4</v>
      </c>
      <c r="AE13" s="264">
        <v>3</v>
      </c>
      <c r="AF13" s="179">
        <v>4</v>
      </c>
      <c r="AG13" s="179">
        <v>4</v>
      </c>
      <c r="AH13" s="172"/>
    </row>
    <row r="16" spans="2:37">
      <c r="AK16" t="s">
        <v>93</v>
      </c>
    </row>
    <row r="17" spans="37:40">
      <c r="AK17" s="178">
        <v>46173</v>
      </c>
      <c r="AL17" s="172" t="s">
        <v>94</v>
      </c>
      <c r="AM17" s="172" t="s">
        <v>95</v>
      </c>
      <c r="AN17" s="172" t="s">
        <v>96</v>
      </c>
    </row>
    <row r="18" spans="37:40">
      <c r="AK18" s="178">
        <v>46173</v>
      </c>
      <c r="AL18" s="172" t="s">
        <v>97</v>
      </c>
      <c r="AM18" s="172" t="s">
        <v>98</v>
      </c>
      <c r="AN18" s="172" t="s">
        <v>99</v>
      </c>
    </row>
  </sheetData>
  <mergeCells count="3">
    <mergeCell ref="C6:Y6"/>
    <mergeCell ref="C11:I11"/>
    <mergeCell ref="AB12:AG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2E25-AE60-46FD-A89B-9F07A7420E8D}">
  <dimension ref="B2:N50"/>
  <sheetViews>
    <sheetView workbookViewId="0">
      <selection activeCell="I4" sqref="I4"/>
    </sheetView>
  </sheetViews>
  <sheetFormatPr defaultRowHeight="15"/>
  <cols>
    <col min="1" max="11" width="12.85546875" customWidth="1"/>
  </cols>
  <sheetData>
    <row r="2" spans="2:11">
      <c r="B2" s="97" t="s">
        <v>28</v>
      </c>
      <c r="C2" s="413" t="s">
        <v>29</v>
      </c>
      <c r="D2" s="414"/>
      <c r="E2" s="98" t="s">
        <v>30</v>
      </c>
      <c r="F2" s="98" t="s">
        <v>31</v>
      </c>
      <c r="G2" s="98" t="s">
        <v>32</v>
      </c>
      <c r="H2" s="98" t="s">
        <v>33</v>
      </c>
      <c r="I2" s="98" t="s">
        <v>34</v>
      </c>
      <c r="J2" s="98" t="s">
        <v>35</v>
      </c>
      <c r="K2" s="98" t="s">
        <v>36</v>
      </c>
    </row>
    <row r="3" spans="2:11">
      <c r="B3" s="415" t="s">
        <v>37</v>
      </c>
      <c r="C3" s="415" t="s">
        <v>38</v>
      </c>
      <c r="D3" s="99" t="s">
        <v>39</v>
      </c>
      <c r="E3" s="100">
        <v>0.29166666666666669</v>
      </c>
      <c r="F3" s="100">
        <v>0.29166666666666669</v>
      </c>
      <c r="G3" s="100">
        <v>0.29166666666666669</v>
      </c>
      <c r="H3" s="100">
        <v>0.29166666666666669</v>
      </c>
      <c r="I3" s="100">
        <v>0.29166666666666669</v>
      </c>
      <c r="J3" s="100">
        <v>0.29166666666666669</v>
      </c>
      <c r="K3" s="100"/>
    </row>
    <row r="4" spans="2:11">
      <c r="B4" s="415"/>
      <c r="C4" s="415"/>
      <c r="D4" s="99" t="s">
        <v>40</v>
      </c>
      <c r="E4" s="100">
        <v>0.64583333333333337</v>
      </c>
      <c r="F4" s="100">
        <v>0.64583333333333337</v>
      </c>
      <c r="G4" s="100">
        <v>0.64583333333333304</v>
      </c>
      <c r="H4" s="100">
        <v>0.64583333333333304</v>
      </c>
      <c r="I4" s="100">
        <v>0.64583333333333304</v>
      </c>
      <c r="J4" s="100">
        <v>0.5625</v>
      </c>
      <c r="K4" s="100"/>
    </row>
    <row r="5" spans="2:11">
      <c r="B5" s="415"/>
      <c r="C5" s="416"/>
      <c r="D5" s="101" t="s">
        <v>36</v>
      </c>
      <c r="E5" s="102">
        <f t="shared" ref="E5:J5" si="0">E4-E3</f>
        <v>0.35416666666666669</v>
      </c>
      <c r="F5" s="102">
        <f t="shared" si="0"/>
        <v>0.35416666666666669</v>
      </c>
      <c r="G5" s="102">
        <f t="shared" si="0"/>
        <v>0.35416666666666635</v>
      </c>
      <c r="H5" s="102">
        <f t="shared" si="0"/>
        <v>0.35416666666666635</v>
      </c>
      <c r="I5" s="102">
        <f t="shared" si="0"/>
        <v>0.35416666666666635</v>
      </c>
      <c r="J5" s="102">
        <f t="shared" si="0"/>
        <v>0.27083333333333331</v>
      </c>
      <c r="K5" s="102"/>
    </row>
    <row r="6" spans="2:11">
      <c r="B6" s="69"/>
      <c r="C6" s="417" t="s">
        <v>41</v>
      </c>
      <c r="D6" s="417"/>
      <c r="E6" s="103" t="s">
        <v>42</v>
      </c>
      <c r="F6" s="103" t="s">
        <v>42</v>
      </c>
      <c r="G6" s="103" t="s">
        <v>42</v>
      </c>
      <c r="H6" s="103" t="s">
        <v>42</v>
      </c>
      <c r="I6" s="103" t="s">
        <v>42</v>
      </c>
      <c r="J6" s="103" t="s">
        <v>43</v>
      </c>
      <c r="K6" s="103">
        <v>44</v>
      </c>
    </row>
    <row r="7" spans="2:11">
      <c r="C7" s="418" t="s">
        <v>44</v>
      </c>
      <c r="D7" s="419"/>
      <c r="E7" s="104" t="s">
        <v>45</v>
      </c>
      <c r="F7" s="104" t="s">
        <v>45</v>
      </c>
      <c r="G7" s="104" t="s">
        <v>45</v>
      </c>
      <c r="H7" s="104" t="s">
        <v>45</v>
      </c>
      <c r="I7" s="104" t="s">
        <v>45</v>
      </c>
      <c r="J7" s="104" t="s">
        <v>46</v>
      </c>
      <c r="K7" s="105"/>
    </row>
    <row r="10" spans="2:11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</row>
    <row r="11" spans="2:11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>
        <v>0.33333333333333331</v>
      </c>
      <c r="K11" s="90"/>
    </row>
    <row r="12" spans="2:11">
      <c r="B12" s="426"/>
      <c r="C12" s="427"/>
      <c r="D12" s="90" t="s">
        <v>40</v>
      </c>
      <c r="E12" s="92">
        <v>0.6875</v>
      </c>
      <c r="F12" s="92">
        <v>0.6875</v>
      </c>
      <c r="G12" s="92">
        <v>0.6875</v>
      </c>
      <c r="H12" s="92">
        <v>0.6875</v>
      </c>
      <c r="I12" s="92">
        <v>0.6875</v>
      </c>
      <c r="J12" s="92">
        <v>0.60416666666666663</v>
      </c>
      <c r="K12" s="90"/>
    </row>
    <row r="13" spans="2:11">
      <c r="B13" s="426"/>
      <c r="C13" s="427"/>
      <c r="D13" s="90" t="s">
        <v>36</v>
      </c>
      <c r="E13" s="91">
        <f t="shared" ref="E13:J13" si="1">E12-E11</f>
        <v>0.35416666666666669</v>
      </c>
      <c r="F13" s="91">
        <f t="shared" si="1"/>
        <v>0.35416666666666669</v>
      </c>
      <c r="G13" s="91">
        <f t="shared" si="1"/>
        <v>0.35416666666666669</v>
      </c>
      <c r="H13" s="91">
        <f t="shared" si="1"/>
        <v>0.35416666666666669</v>
      </c>
      <c r="I13" s="91">
        <f t="shared" si="1"/>
        <v>0.35416666666666669</v>
      </c>
      <c r="J13" s="91">
        <f t="shared" si="1"/>
        <v>0.27083333333333331</v>
      </c>
      <c r="K13" s="93"/>
    </row>
    <row r="14" spans="2:11">
      <c r="C14" s="428" t="s">
        <v>41</v>
      </c>
      <c r="D14" s="428"/>
      <c r="E14" s="70" t="s">
        <v>42</v>
      </c>
      <c r="F14" s="70" t="s">
        <v>42</v>
      </c>
      <c r="G14" s="70" t="s">
        <v>42</v>
      </c>
      <c r="H14" s="70" t="s">
        <v>42</v>
      </c>
      <c r="I14" s="70" t="s">
        <v>42</v>
      </c>
      <c r="J14" s="70" t="s">
        <v>43</v>
      </c>
      <c r="K14" s="94">
        <v>44</v>
      </c>
    </row>
    <row r="15" spans="2:11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 t="s">
        <v>46</v>
      </c>
      <c r="K15" s="96"/>
    </row>
    <row r="18" spans="2:11">
      <c r="B18" s="160" t="s">
        <v>28</v>
      </c>
      <c r="C18" s="452" t="s">
        <v>29</v>
      </c>
      <c r="D18" s="453"/>
      <c r="E18" s="161" t="s">
        <v>30</v>
      </c>
      <c r="F18" s="161" t="s">
        <v>31</v>
      </c>
      <c r="G18" s="161" t="s">
        <v>32</v>
      </c>
      <c r="H18" s="161" t="s">
        <v>33</v>
      </c>
      <c r="I18" s="161" t="s">
        <v>34</v>
      </c>
      <c r="J18" s="161" t="s">
        <v>35</v>
      </c>
      <c r="K18" s="161" t="s">
        <v>36</v>
      </c>
    </row>
    <row r="19" spans="2:11">
      <c r="B19" s="450" t="s">
        <v>37</v>
      </c>
      <c r="C19" s="450" t="s">
        <v>56</v>
      </c>
      <c r="D19" s="162" t="s">
        <v>39</v>
      </c>
      <c r="E19" s="163">
        <v>0.25</v>
      </c>
      <c r="F19" s="163">
        <v>0.25</v>
      </c>
      <c r="G19" s="163">
        <v>0.25</v>
      </c>
      <c r="H19" s="163">
        <v>0.25</v>
      </c>
      <c r="I19" s="163">
        <v>0.25</v>
      </c>
      <c r="J19" s="163">
        <v>0.25</v>
      </c>
      <c r="K19" s="163"/>
    </row>
    <row r="20" spans="2:11">
      <c r="B20" s="450"/>
      <c r="C20" s="450"/>
      <c r="D20" s="162" t="s">
        <v>40</v>
      </c>
      <c r="E20" s="163">
        <v>0.54166666666666663</v>
      </c>
      <c r="F20" s="163">
        <v>0.54166666666666663</v>
      </c>
      <c r="G20" s="163">
        <v>0.54166666666666663</v>
      </c>
      <c r="H20" s="163">
        <v>0.54166666666666663</v>
      </c>
      <c r="I20" s="163">
        <v>0.58333333333333337</v>
      </c>
      <c r="J20" s="163">
        <v>0.58333333333333337</v>
      </c>
      <c r="K20" s="163"/>
    </row>
    <row r="21" spans="2:11">
      <c r="B21" s="450"/>
      <c r="C21" s="451"/>
      <c r="D21" s="164" t="s">
        <v>36</v>
      </c>
      <c r="E21" s="165">
        <f t="shared" ref="E21:J21" si="2">E20-E19</f>
        <v>0.29166666666666663</v>
      </c>
      <c r="F21" s="165">
        <f t="shared" si="2"/>
        <v>0.29166666666666663</v>
      </c>
      <c r="G21" s="165">
        <f t="shared" si="2"/>
        <v>0.29166666666666663</v>
      </c>
      <c r="H21" s="165">
        <f t="shared" si="2"/>
        <v>0.29166666666666663</v>
      </c>
      <c r="I21" s="165">
        <f t="shared" si="2"/>
        <v>0.33333333333333337</v>
      </c>
      <c r="J21" s="165">
        <f t="shared" si="2"/>
        <v>0.33333333333333337</v>
      </c>
      <c r="K21" s="165"/>
    </row>
    <row r="22" spans="2:11">
      <c r="B22" s="69"/>
      <c r="C22" s="454" t="s">
        <v>41</v>
      </c>
      <c r="D22" s="454"/>
      <c r="E22" s="166">
        <v>7</v>
      </c>
      <c r="F22" s="166">
        <v>7</v>
      </c>
      <c r="G22" s="166">
        <v>7</v>
      </c>
      <c r="H22" s="166">
        <v>7</v>
      </c>
      <c r="I22" s="166">
        <v>8</v>
      </c>
      <c r="J22" s="166">
        <v>8</v>
      </c>
      <c r="K22" s="166">
        <f>SUM(E22:J22)</f>
        <v>44</v>
      </c>
    </row>
    <row r="23" spans="2:11">
      <c r="C23" s="455" t="s">
        <v>44</v>
      </c>
      <c r="D23" s="456"/>
      <c r="E23" s="167" t="s">
        <v>49</v>
      </c>
      <c r="F23" s="167" t="s">
        <v>49</v>
      </c>
      <c r="G23" s="167" t="s">
        <v>49</v>
      </c>
      <c r="H23" s="167" t="s">
        <v>49</v>
      </c>
      <c r="I23" s="167" t="s">
        <v>49</v>
      </c>
      <c r="J23" s="167" t="s">
        <v>46</v>
      </c>
      <c r="K23" s="168"/>
    </row>
    <row r="26" spans="2:11">
      <c r="B26" s="151" t="s">
        <v>28</v>
      </c>
      <c r="C26" s="457" t="s">
        <v>29</v>
      </c>
      <c r="D26" s="458"/>
      <c r="E26" s="152" t="s">
        <v>30</v>
      </c>
      <c r="F26" s="152" t="s">
        <v>31</v>
      </c>
      <c r="G26" s="152" t="s">
        <v>32</v>
      </c>
      <c r="H26" s="152" t="s">
        <v>33</v>
      </c>
      <c r="I26" s="152" t="s">
        <v>34</v>
      </c>
      <c r="J26" s="152" t="s">
        <v>35</v>
      </c>
      <c r="K26" s="152" t="s">
        <v>36</v>
      </c>
    </row>
    <row r="27" spans="2:11">
      <c r="B27" s="459" t="s">
        <v>37</v>
      </c>
      <c r="C27" s="459" t="s">
        <v>57</v>
      </c>
      <c r="D27" s="153" t="s">
        <v>39</v>
      </c>
      <c r="E27" s="154">
        <v>0.54166666666666663</v>
      </c>
      <c r="F27" s="154">
        <v>0.54166666666666663</v>
      </c>
      <c r="G27" s="154">
        <v>0.58333333333333337</v>
      </c>
      <c r="H27" s="154">
        <v>0.58333333333333337</v>
      </c>
      <c r="I27" s="154">
        <v>0.58333333333333337</v>
      </c>
      <c r="J27" s="154">
        <v>0.58333333333333337</v>
      </c>
      <c r="K27" s="154"/>
    </row>
    <row r="28" spans="2:11">
      <c r="B28" s="459"/>
      <c r="C28" s="459"/>
      <c r="D28" s="153" t="s">
        <v>40</v>
      </c>
      <c r="E28" s="154">
        <v>0.875</v>
      </c>
      <c r="F28" s="154">
        <v>0.875</v>
      </c>
      <c r="G28" s="154">
        <v>0.875</v>
      </c>
      <c r="H28" s="154">
        <v>0.875</v>
      </c>
      <c r="I28" s="154">
        <v>0.875</v>
      </c>
      <c r="J28" s="154">
        <v>0.875</v>
      </c>
      <c r="K28" s="154"/>
    </row>
    <row r="29" spans="2:11">
      <c r="B29" s="459"/>
      <c r="C29" s="460"/>
      <c r="D29" s="155" t="s">
        <v>36</v>
      </c>
      <c r="E29" s="156">
        <f>E28-E27</f>
        <v>0.33333333333333337</v>
      </c>
      <c r="F29" s="156">
        <f>F28-F27</f>
        <v>0.33333333333333337</v>
      </c>
      <c r="G29" s="156">
        <f>G28-G27</f>
        <v>0.29166666666666663</v>
      </c>
      <c r="H29" s="156">
        <f>H28-H27</f>
        <v>0.29166666666666663</v>
      </c>
      <c r="I29" s="156">
        <f>I28-I27</f>
        <v>0.29166666666666663</v>
      </c>
      <c r="J29" s="156">
        <f>J28-J27</f>
        <v>0.29166666666666663</v>
      </c>
      <c r="K29" s="156"/>
    </row>
    <row r="30" spans="2:11">
      <c r="B30" s="69"/>
      <c r="C30" s="461" t="s">
        <v>41</v>
      </c>
      <c r="D30" s="461"/>
      <c r="E30" s="157">
        <v>8</v>
      </c>
      <c r="F30" s="157">
        <v>8</v>
      </c>
      <c r="G30" s="157">
        <v>7</v>
      </c>
      <c r="H30" s="157">
        <v>7</v>
      </c>
      <c r="I30" s="157">
        <v>7</v>
      </c>
      <c r="J30" s="157">
        <v>7</v>
      </c>
      <c r="K30" s="157">
        <f>SUM(E30:J30)</f>
        <v>44</v>
      </c>
    </row>
    <row r="31" spans="2:11">
      <c r="C31" s="462" t="s">
        <v>44</v>
      </c>
      <c r="D31" s="463"/>
      <c r="E31" s="158" t="s">
        <v>49</v>
      </c>
      <c r="F31" s="158" t="s">
        <v>49</v>
      </c>
      <c r="G31" s="158" t="s">
        <v>49</v>
      </c>
      <c r="H31" s="158" t="s">
        <v>49</v>
      </c>
      <c r="I31" s="158" t="s">
        <v>49</v>
      </c>
      <c r="J31" s="158" t="s">
        <v>49</v>
      </c>
      <c r="K31" s="159"/>
    </row>
    <row r="34" spans="2:14">
      <c r="B34" s="191" t="s">
        <v>28</v>
      </c>
      <c r="C34" s="498" t="s">
        <v>29</v>
      </c>
      <c r="D34" s="499"/>
      <c r="E34" s="192" t="s">
        <v>30</v>
      </c>
      <c r="F34" s="192" t="s">
        <v>31</v>
      </c>
      <c r="G34" s="192" t="s">
        <v>32</v>
      </c>
      <c r="H34" s="192" t="s">
        <v>33</v>
      </c>
      <c r="I34" s="192" t="s">
        <v>34</v>
      </c>
      <c r="J34" s="192" t="s">
        <v>35</v>
      </c>
      <c r="K34" s="192" t="s">
        <v>36</v>
      </c>
    </row>
    <row r="35" spans="2:14">
      <c r="B35" s="500" t="s">
        <v>37</v>
      </c>
      <c r="C35" s="501" t="s">
        <v>79</v>
      </c>
      <c r="D35" s="193" t="s">
        <v>39</v>
      </c>
      <c r="E35" s="194">
        <v>0.4375</v>
      </c>
      <c r="F35" s="194">
        <v>0.4375</v>
      </c>
      <c r="G35" s="194">
        <v>0.4375</v>
      </c>
      <c r="H35" s="194">
        <v>0.4375</v>
      </c>
      <c r="I35" s="194">
        <v>0.45833333333333331</v>
      </c>
      <c r="J35" s="194">
        <v>0.45833333333333331</v>
      </c>
      <c r="K35" s="194"/>
    </row>
    <row r="36" spans="2:14">
      <c r="B36" s="500"/>
      <c r="C36" s="502"/>
      <c r="D36" s="193" t="s">
        <v>40</v>
      </c>
      <c r="E36" s="194">
        <v>0.79166666666666663</v>
      </c>
      <c r="F36" s="194">
        <v>0.79166666666666663</v>
      </c>
      <c r="G36" s="194">
        <v>0.79166666666666663</v>
      </c>
      <c r="H36" s="194">
        <v>0.79166666666666663</v>
      </c>
      <c r="I36" s="194">
        <v>0.79166666666666663</v>
      </c>
      <c r="J36" s="194">
        <v>0.79166666666666663</v>
      </c>
      <c r="K36" s="194"/>
    </row>
    <row r="37" spans="2:14">
      <c r="B37" s="500"/>
      <c r="C37" s="503"/>
      <c r="D37" s="195" t="s">
        <v>36</v>
      </c>
      <c r="E37" s="196">
        <f>E36-E35</f>
        <v>0.35416666666666663</v>
      </c>
      <c r="F37" s="196">
        <f>F36-F35</f>
        <v>0.35416666666666663</v>
      </c>
      <c r="G37" s="196">
        <f>G36-G35</f>
        <v>0.35416666666666663</v>
      </c>
      <c r="H37" s="196">
        <f>H36-H35</f>
        <v>0.35416666666666663</v>
      </c>
      <c r="I37" s="196">
        <f>I36-I35</f>
        <v>0.33333333333333331</v>
      </c>
      <c r="J37" s="196">
        <f>J36-J35</f>
        <v>0.33333333333333331</v>
      </c>
      <c r="K37" s="196"/>
    </row>
    <row r="38" spans="2:14">
      <c r="B38" s="69"/>
      <c r="C38" s="494" t="s">
        <v>41</v>
      </c>
      <c r="D38" s="495"/>
      <c r="E38" s="197" t="s">
        <v>42</v>
      </c>
      <c r="F38" s="197" t="s">
        <v>42</v>
      </c>
      <c r="G38" s="197" t="s">
        <v>42</v>
      </c>
      <c r="H38" s="197" t="s">
        <v>42</v>
      </c>
      <c r="I38" s="197">
        <v>8</v>
      </c>
      <c r="J38" s="197">
        <v>6</v>
      </c>
      <c r="K38" s="197">
        <v>44</v>
      </c>
    </row>
    <row r="39" spans="2:14">
      <c r="C39" s="496" t="s">
        <v>44</v>
      </c>
      <c r="D39" s="497"/>
      <c r="E39" s="198" t="s">
        <v>80</v>
      </c>
      <c r="F39" s="198" t="s">
        <v>80</v>
      </c>
      <c r="G39" s="198" t="s">
        <v>80</v>
      </c>
      <c r="H39" s="198" t="s">
        <v>80</v>
      </c>
      <c r="I39" s="198" t="s">
        <v>80</v>
      </c>
      <c r="J39" s="198" t="s">
        <v>80</v>
      </c>
      <c r="K39" s="199"/>
    </row>
    <row r="42" spans="2:14" ht="29.25">
      <c r="B42" s="128" t="s">
        <v>28</v>
      </c>
      <c r="C42" s="442" t="s">
        <v>29</v>
      </c>
      <c r="D42" s="442"/>
      <c r="E42" s="131" t="s">
        <v>51</v>
      </c>
    </row>
    <row r="43" spans="2:14">
      <c r="B43" s="443" t="s">
        <v>37</v>
      </c>
      <c r="C43" s="443" t="s">
        <v>58</v>
      </c>
      <c r="D43" s="129" t="s">
        <v>39</v>
      </c>
      <c r="E43" s="130">
        <v>0.25</v>
      </c>
    </row>
    <row r="44" spans="2:14">
      <c r="B44" s="443"/>
      <c r="C44" s="443"/>
      <c r="D44" s="129" t="s">
        <v>40</v>
      </c>
      <c r="E44" s="130">
        <v>0.58333333333333337</v>
      </c>
    </row>
    <row r="45" spans="2:14">
      <c r="B45" s="443"/>
      <c r="C45" s="443"/>
      <c r="D45" s="129" t="s">
        <v>36</v>
      </c>
      <c r="E45" s="130">
        <f>E44-E43</f>
        <v>0.33333333333333337</v>
      </c>
    </row>
    <row r="47" spans="2:14" ht="29.25">
      <c r="B47" s="106" t="s">
        <v>28</v>
      </c>
      <c r="C47" s="441" t="s">
        <v>29</v>
      </c>
      <c r="D47" s="441"/>
      <c r="E47" s="132" t="s">
        <v>51</v>
      </c>
      <c r="N47">
        <v>3</v>
      </c>
    </row>
    <row r="48" spans="2:14">
      <c r="B48" s="435" t="s">
        <v>37</v>
      </c>
      <c r="C48" s="435" t="s">
        <v>59</v>
      </c>
      <c r="D48" s="126" t="s">
        <v>39</v>
      </c>
      <c r="E48" s="127">
        <v>0.5</v>
      </c>
    </row>
    <row r="49" spans="2:5">
      <c r="B49" s="435"/>
      <c r="C49" s="435"/>
      <c r="D49" s="126" t="s">
        <v>40</v>
      </c>
      <c r="E49" s="127">
        <v>0.83333333333333337</v>
      </c>
    </row>
    <row r="50" spans="2:5">
      <c r="B50" s="435"/>
      <c r="C50" s="435"/>
      <c r="D50" s="126" t="s">
        <v>36</v>
      </c>
      <c r="E50" s="127">
        <f>E49-E48</f>
        <v>0.33333333333333337</v>
      </c>
    </row>
  </sheetData>
  <mergeCells count="31">
    <mergeCell ref="B19:B21"/>
    <mergeCell ref="C19:C21"/>
    <mergeCell ref="C2:D2"/>
    <mergeCell ref="B3:B5"/>
    <mergeCell ref="C3:C5"/>
    <mergeCell ref="C6:D6"/>
    <mergeCell ref="C7:D7"/>
    <mergeCell ref="C10:D10"/>
    <mergeCell ref="B11:B13"/>
    <mergeCell ref="C11:C13"/>
    <mergeCell ref="C14:D14"/>
    <mergeCell ref="C15:D15"/>
    <mergeCell ref="C18:D18"/>
    <mergeCell ref="C39:D39"/>
    <mergeCell ref="C22:D22"/>
    <mergeCell ref="C23:D23"/>
    <mergeCell ref="C26:D26"/>
    <mergeCell ref="B27:B29"/>
    <mergeCell ref="C27:C29"/>
    <mergeCell ref="C30:D30"/>
    <mergeCell ref="C31:D31"/>
    <mergeCell ref="C34:D34"/>
    <mergeCell ref="B35:B37"/>
    <mergeCell ref="C35:C37"/>
    <mergeCell ref="C38:D38"/>
    <mergeCell ref="C42:D42"/>
    <mergeCell ref="B43:B45"/>
    <mergeCell ref="C43:C45"/>
    <mergeCell ref="C47:D47"/>
    <mergeCell ref="B48:B50"/>
    <mergeCell ref="C48:C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3D82-04D0-40A9-AF28-F3B97B393220}">
  <dimension ref="A2:C10"/>
  <sheetViews>
    <sheetView workbookViewId="0">
      <selection activeCell="F19" sqref="F19"/>
    </sheetView>
  </sheetViews>
  <sheetFormatPr defaultRowHeight="15"/>
  <cols>
    <col min="1" max="1" width="30.5703125" bestFit="1" customWidth="1"/>
    <col min="2" max="2" width="33.7109375" customWidth="1"/>
    <col min="3" max="3" width="21" customWidth="1"/>
  </cols>
  <sheetData>
    <row r="2" spans="1:3">
      <c r="A2" s="172" t="s">
        <v>100</v>
      </c>
      <c r="B2" s="172" t="s">
        <v>101</v>
      </c>
      <c r="C2" s="172" t="s">
        <v>102</v>
      </c>
    </row>
    <row r="3" spans="1:3">
      <c r="A3" s="172" t="s">
        <v>103</v>
      </c>
      <c r="B3" s="172" t="s">
        <v>104</v>
      </c>
      <c r="C3" s="178" t="s">
        <v>105</v>
      </c>
    </row>
    <row r="4" spans="1:3">
      <c r="A4" s="172" t="s">
        <v>106</v>
      </c>
      <c r="B4" s="275" t="s">
        <v>107</v>
      </c>
      <c r="C4" s="276" t="s">
        <v>108</v>
      </c>
    </row>
    <row r="5" spans="1:3">
      <c r="A5" s="172" t="s">
        <v>109</v>
      </c>
      <c r="B5" s="275" t="s">
        <v>110</v>
      </c>
      <c r="C5" s="178" t="s">
        <v>111</v>
      </c>
    </row>
    <row r="6" spans="1:3">
      <c r="A6" s="172" t="s">
        <v>112</v>
      </c>
      <c r="B6" s="172" t="s">
        <v>113</v>
      </c>
      <c r="C6" s="178" t="s">
        <v>114</v>
      </c>
    </row>
    <row r="7" spans="1:3">
      <c r="A7" s="172" t="s">
        <v>115</v>
      </c>
      <c r="B7" s="172" t="s">
        <v>116</v>
      </c>
      <c r="C7" s="178" t="s">
        <v>117</v>
      </c>
    </row>
    <row r="8" spans="1:3">
      <c r="A8" s="172" t="s">
        <v>118</v>
      </c>
      <c r="B8" s="172" t="s">
        <v>119</v>
      </c>
      <c r="C8" s="178" t="s">
        <v>120</v>
      </c>
    </row>
    <row r="9" spans="1:3">
      <c r="A9" s="172" t="s">
        <v>121</v>
      </c>
      <c r="B9" s="172" t="s">
        <v>122</v>
      </c>
      <c r="C9" s="178" t="s">
        <v>123</v>
      </c>
    </row>
    <row r="10" spans="1:3">
      <c r="A10" s="274" t="s">
        <v>124</v>
      </c>
      <c r="B10" s="277" t="s">
        <v>125</v>
      </c>
      <c r="C10" s="178" t="s">
        <v>126</v>
      </c>
    </row>
  </sheetData>
  <hyperlinks>
    <hyperlink ref="B4" r:id="rId1" xr:uid="{5F2776B3-4918-4FD2-9C85-68C0D18D79A5}"/>
    <hyperlink ref="B5" r:id="rId2" xr:uid="{F74B1425-20AE-4408-8F42-8BAFD008481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B856-0588-4456-8675-C08893945AF5}">
  <sheetPr>
    <tabColor rgb="FFFF80EC"/>
  </sheetPr>
  <dimension ref="B3:XEX14"/>
  <sheetViews>
    <sheetView showGridLines="0" topLeftCell="B1" workbookViewId="0">
      <selection activeCell="W12" sqref="W12"/>
    </sheetView>
  </sheetViews>
  <sheetFormatPr defaultColWidth="9.140625" defaultRowHeight="15"/>
  <cols>
    <col min="1" max="1" width="9.140625" style="251"/>
    <col min="2" max="2" width="56.42578125" style="251" customWidth="1"/>
    <col min="3" max="32" width="3" style="251" customWidth="1"/>
    <col min="33" max="33" width="8.140625" style="251" customWidth="1"/>
    <col min="34" max="16384" width="9.140625" style="251"/>
  </cols>
  <sheetData>
    <row r="3" spans="2:34 16378:16378" ht="23.25">
      <c r="B3" s="515" t="s">
        <v>127</v>
      </c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  <c r="AD3" s="515"/>
      <c r="AE3" s="515"/>
      <c r="AF3" s="515"/>
    </row>
    <row r="5" spans="2:34 16378:16378">
      <c r="C5" s="252">
        <v>1</v>
      </c>
      <c r="D5" s="253">
        <v>2</v>
      </c>
      <c r="E5" s="253">
        <v>3</v>
      </c>
      <c r="F5" s="252">
        <v>4</v>
      </c>
      <c r="G5" s="252">
        <v>5</v>
      </c>
      <c r="H5" s="253">
        <v>6</v>
      </c>
      <c r="I5" s="253">
        <v>7</v>
      </c>
      <c r="J5" s="252">
        <v>8</v>
      </c>
      <c r="K5" s="252">
        <v>9</v>
      </c>
      <c r="L5" s="253">
        <v>10</v>
      </c>
      <c r="M5" s="253">
        <v>11</v>
      </c>
      <c r="N5" s="252">
        <v>12</v>
      </c>
      <c r="O5" s="253">
        <v>13</v>
      </c>
      <c r="P5" s="253">
        <v>14</v>
      </c>
      <c r="Q5" s="252">
        <v>15</v>
      </c>
      <c r="R5" s="252">
        <v>16</v>
      </c>
      <c r="S5" s="253">
        <v>17</v>
      </c>
      <c r="T5" s="253">
        <v>18</v>
      </c>
      <c r="U5" s="252">
        <v>19</v>
      </c>
      <c r="V5" s="252">
        <v>20</v>
      </c>
      <c r="W5" s="253">
        <v>21</v>
      </c>
      <c r="X5" s="253">
        <v>22</v>
      </c>
      <c r="Y5" s="252">
        <v>23</v>
      </c>
      <c r="Z5" s="253">
        <v>24</v>
      </c>
      <c r="AA5" s="253">
        <v>25</v>
      </c>
      <c r="AB5" s="254">
        <v>26</v>
      </c>
      <c r="AC5" s="252">
        <v>27</v>
      </c>
      <c r="AD5" s="253">
        <v>28</v>
      </c>
      <c r="AE5" s="253">
        <v>29</v>
      </c>
      <c r="AF5" s="253">
        <v>30</v>
      </c>
      <c r="XEX5" s="253"/>
    </row>
    <row r="6" spans="2:34 16378:16378">
      <c r="B6" s="255" t="s">
        <v>1</v>
      </c>
      <c r="C6" s="256" t="s">
        <v>2</v>
      </c>
      <c r="D6" s="256" t="s">
        <v>3</v>
      </c>
      <c r="E6" s="256" t="s">
        <v>3</v>
      </c>
      <c r="F6" s="256" t="s">
        <v>4</v>
      </c>
      <c r="G6" s="256" t="s">
        <v>5</v>
      </c>
      <c r="H6" s="256" t="s">
        <v>6</v>
      </c>
      <c r="I6" s="257" t="s">
        <v>7</v>
      </c>
      <c r="J6" s="257" t="s">
        <v>2</v>
      </c>
      <c r="K6" s="256" t="s">
        <v>3</v>
      </c>
      <c r="L6" s="256" t="s">
        <v>3</v>
      </c>
      <c r="M6" s="256" t="s">
        <v>4</v>
      </c>
      <c r="N6" s="256" t="s">
        <v>5</v>
      </c>
      <c r="O6" s="256" t="s">
        <v>6</v>
      </c>
      <c r="P6" s="257" t="s">
        <v>7</v>
      </c>
      <c r="Q6" s="257" t="s">
        <v>2</v>
      </c>
      <c r="R6" s="256" t="s">
        <v>3</v>
      </c>
      <c r="S6" s="256" t="s">
        <v>3</v>
      </c>
      <c r="T6" s="256" t="s">
        <v>4</v>
      </c>
      <c r="U6" s="256" t="s">
        <v>5</v>
      </c>
      <c r="V6" s="256" t="s">
        <v>6</v>
      </c>
      <c r="W6" s="257" t="s">
        <v>7</v>
      </c>
      <c r="X6" s="256" t="s">
        <v>2</v>
      </c>
      <c r="Y6" s="256" t="s">
        <v>3</v>
      </c>
      <c r="Z6" s="256" t="s">
        <v>3</v>
      </c>
      <c r="AA6" s="256" t="s">
        <v>4</v>
      </c>
      <c r="AB6" s="256" t="s">
        <v>5</v>
      </c>
      <c r="AC6" s="256" t="s">
        <v>6</v>
      </c>
      <c r="AD6" s="258" t="s">
        <v>7</v>
      </c>
      <c r="AE6" s="257" t="s">
        <v>2</v>
      </c>
      <c r="AF6" s="256" t="s">
        <v>3</v>
      </c>
    </row>
    <row r="7" spans="2:34 16378:16378">
      <c r="B7" s="259" t="s">
        <v>128</v>
      </c>
      <c r="C7" s="264">
        <v>3</v>
      </c>
      <c r="D7" s="264">
        <v>3</v>
      </c>
      <c r="E7" s="264">
        <v>3</v>
      </c>
      <c r="F7" s="264">
        <v>3</v>
      </c>
      <c r="G7" s="264">
        <v>3</v>
      </c>
      <c r="H7" s="264">
        <v>3</v>
      </c>
      <c r="I7" s="253" t="s">
        <v>2</v>
      </c>
      <c r="J7" s="253" t="s">
        <v>2</v>
      </c>
      <c r="K7" s="264">
        <v>3</v>
      </c>
      <c r="L7" s="264">
        <v>3</v>
      </c>
      <c r="M7" s="264">
        <v>3</v>
      </c>
      <c r="N7" s="264">
        <v>3</v>
      </c>
      <c r="O7" s="264">
        <v>3</v>
      </c>
      <c r="P7" s="136">
        <v>6</v>
      </c>
      <c r="Q7" s="136">
        <v>6</v>
      </c>
      <c r="R7" s="262">
        <v>4</v>
      </c>
      <c r="S7" s="262">
        <v>4</v>
      </c>
      <c r="T7" s="262">
        <v>4</v>
      </c>
      <c r="U7" s="261">
        <v>7</v>
      </c>
      <c r="V7" s="264">
        <v>3</v>
      </c>
      <c r="W7" s="253" t="s">
        <v>2</v>
      </c>
      <c r="X7" s="262">
        <v>4</v>
      </c>
      <c r="Y7" s="253" t="s">
        <v>2</v>
      </c>
      <c r="Z7" s="264">
        <v>3</v>
      </c>
      <c r="AA7" s="262">
        <v>4</v>
      </c>
      <c r="AB7" s="262">
        <v>4</v>
      </c>
      <c r="AC7" s="262">
        <v>4</v>
      </c>
      <c r="AD7" s="253" t="s">
        <v>2</v>
      </c>
      <c r="AE7" s="135">
        <v>5</v>
      </c>
      <c r="AF7" s="253"/>
    </row>
    <row r="8" spans="2:34 16378:16378">
      <c r="B8" s="260" t="s">
        <v>92</v>
      </c>
      <c r="C8" s="261">
        <v>7</v>
      </c>
      <c r="D8" s="261">
        <v>7</v>
      </c>
      <c r="E8" s="261">
        <v>7</v>
      </c>
      <c r="F8" s="264">
        <v>3</v>
      </c>
      <c r="G8" s="262">
        <v>4</v>
      </c>
      <c r="H8" s="262">
        <v>4</v>
      </c>
      <c r="I8" s="253" t="s">
        <v>2</v>
      </c>
      <c r="J8" s="253" t="s">
        <v>2</v>
      </c>
      <c r="K8" s="262">
        <v>4</v>
      </c>
      <c r="L8" s="262">
        <v>4</v>
      </c>
      <c r="M8" s="262">
        <v>4</v>
      </c>
      <c r="N8" s="262">
        <v>4</v>
      </c>
      <c r="O8" s="262">
        <v>4</v>
      </c>
      <c r="P8" s="253" t="s">
        <v>2</v>
      </c>
      <c r="Q8" s="253" t="s">
        <v>2</v>
      </c>
      <c r="R8" s="264">
        <v>3</v>
      </c>
      <c r="S8" s="264">
        <v>3</v>
      </c>
      <c r="T8" s="264">
        <v>3</v>
      </c>
      <c r="U8" s="264">
        <v>3</v>
      </c>
      <c r="V8" s="264">
        <v>3</v>
      </c>
      <c r="W8" s="253" t="s">
        <v>2</v>
      </c>
      <c r="X8" s="264">
        <v>3</v>
      </c>
      <c r="Y8" s="264">
        <v>3</v>
      </c>
      <c r="Z8" s="149">
        <v>2</v>
      </c>
      <c r="AA8" s="264" t="s">
        <v>129</v>
      </c>
      <c r="AB8" s="264" t="s">
        <v>129</v>
      </c>
      <c r="AC8" s="262">
        <v>4</v>
      </c>
      <c r="AD8" s="266">
        <v>6</v>
      </c>
      <c r="AE8" s="266">
        <v>6</v>
      </c>
      <c r="AF8" s="253"/>
    </row>
    <row r="9" spans="2:34 16378:16378">
      <c r="B9" s="260" t="s">
        <v>64</v>
      </c>
      <c r="C9" s="262">
        <v>4</v>
      </c>
      <c r="D9" s="262">
        <v>4</v>
      </c>
      <c r="E9" s="262">
        <v>4</v>
      </c>
      <c r="F9" s="262">
        <v>4</v>
      </c>
      <c r="G9" s="516" t="s">
        <v>76</v>
      </c>
      <c r="H9" s="517"/>
      <c r="I9" s="51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  <c r="X9" s="517"/>
      <c r="Y9" s="517"/>
      <c r="Z9" s="517"/>
      <c r="AA9" s="517"/>
      <c r="AB9" s="517"/>
      <c r="AC9" s="517"/>
      <c r="AD9" s="517"/>
      <c r="AE9" s="517"/>
      <c r="AF9" s="518"/>
    </row>
    <row r="10" spans="2:34 16378:16378">
      <c r="B10" s="260" t="s">
        <v>130</v>
      </c>
      <c r="C10" s="265">
        <v>2</v>
      </c>
      <c r="D10" s="265">
        <v>2</v>
      </c>
      <c r="E10" s="265">
        <v>2</v>
      </c>
      <c r="F10" s="265">
        <v>2</v>
      </c>
      <c r="G10" s="265">
        <v>2</v>
      </c>
      <c r="H10" s="265">
        <v>2</v>
      </c>
      <c r="I10" s="135">
        <v>5</v>
      </c>
      <c r="J10" s="135">
        <v>5</v>
      </c>
      <c r="K10" s="261">
        <v>7</v>
      </c>
      <c r="L10" s="261">
        <v>7</v>
      </c>
      <c r="M10" s="261">
        <v>7</v>
      </c>
      <c r="N10" s="261">
        <v>7</v>
      </c>
      <c r="O10" s="261">
        <v>7</v>
      </c>
      <c r="P10" s="253" t="s">
        <v>2</v>
      </c>
      <c r="Q10" s="253" t="s">
        <v>2</v>
      </c>
      <c r="R10" s="253" t="s">
        <v>2</v>
      </c>
      <c r="S10" s="264">
        <v>3</v>
      </c>
      <c r="T10" s="264">
        <v>3</v>
      </c>
      <c r="U10" s="262">
        <v>4</v>
      </c>
      <c r="V10" s="262">
        <v>4</v>
      </c>
      <c r="W10" s="253" t="s">
        <v>2</v>
      </c>
      <c r="X10" s="264">
        <v>3</v>
      </c>
      <c r="Y10" s="264">
        <v>3</v>
      </c>
      <c r="Z10" s="264">
        <v>3</v>
      </c>
      <c r="AA10" s="264">
        <v>3</v>
      </c>
      <c r="AB10" s="264">
        <v>3</v>
      </c>
      <c r="AC10" s="264">
        <v>3</v>
      </c>
      <c r="AD10" s="135">
        <v>5</v>
      </c>
      <c r="AE10" s="253" t="s">
        <v>2</v>
      </c>
      <c r="AF10" s="253"/>
    </row>
    <row r="11" spans="2:34 16378:16378">
      <c r="B11" s="260" t="s">
        <v>131</v>
      </c>
      <c r="C11" s="262">
        <v>4</v>
      </c>
      <c r="D11" s="262">
        <v>4</v>
      </c>
      <c r="E11" s="262">
        <v>4</v>
      </c>
      <c r="F11" s="262">
        <v>4</v>
      </c>
      <c r="G11" s="262">
        <v>4</v>
      </c>
      <c r="H11" s="262">
        <v>4</v>
      </c>
      <c r="I11" s="136">
        <v>6</v>
      </c>
      <c r="J11" s="136">
        <v>6</v>
      </c>
      <c r="K11" s="262">
        <v>4</v>
      </c>
      <c r="L11" s="264">
        <v>3</v>
      </c>
      <c r="M11" s="264">
        <v>3</v>
      </c>
      <c r="N11" s="262">
        <v>4</v>
      </c>
      <c r="O11" s="262">
        <v>4</v>
      </c>
      <c r="P11" s="253" t="s">
        <v>2</v>
      </c>
      <c r="Q11" s="253" t="s">
        <v>2</v>
      </c>
      <c r="R11" s="264">
        <v>3</v>
      </c>
      <c r="S11" s="261">
        <v>7</v>
      </c>
      <c r="T11" s="261">
        <v>7</v>
      </c>
      <c r="U11" s="262">
        <v>4</v>
      </c>
      <c r="V11" s="261">
        <v>7</v>
      </c>
      <c r="W11" s="135">
        <v>5</v>
      </c>
      <c r="X11" s="261">
        <v>7</v>
      </c>
      <c r="Y11" s="262">
        <v>4</v>
      </c>
      <c r="Z11" s="261">
        <v>7</v>
      </c>
      <c r="AA11" s="261">
        <v>7</v>
      </c>
      <c r="AB11" s="261">
        <v>7</v>
      </c>
      <c r="AC11" s="261">
        <v>7</v>
      </c>
      <c r="AD11" s="253" t="s">
        <v>2</v>
      </c>
      <c r="AE11" s="253" t="s">
        <v>2</v>
      </c>
      <c r="AF11" s="253"/>
    </row>
    <row r="12" spans="2:34 16378:16378">
      <c r="B12" s="260" t="s">
        <v>71</v>
      </c>
      <c r="C12" s="264">
        <v>3</v>
      </c>
      <c r="D12" s="264">
        <v>3</v>
      </c>
      <c r="E12" s="264">
        <v>3</v>
      </c>
      <c r="F12" s="253" t="s">
        <v>2</v>
      </c>
      <c r="G12" s="264">
        <v>3</v>
      </c>
      <c r="H12" s="264">
        <v>3</v>
      </c>
      <c r="I12" s="253" t="s">
        <v>2</v>
      </c>
      <c r="J12" s="253" t="s">
        <v>2</v>
      </c>
      <c r="K12" s="264">
        <v>3</v>
      </c>
      <c r="L12" s="262">
        <v>4</v>
      </c>
      <c r="M12" s="262">
        <v>4</v>
      </c>
      <c r="N12" s="264">
        <v>3</v>
      </c>
      <c r="O12" s="264">
        <v>3</v>
      </c>
      <c r="P12" s="135">
        <v>5</v>
      </c>
      <c r="Q12" s="135">
        <v>5</v>
      </c>
      <c r="R12" s="262">
        <v>4</v>
      </c>
      <c r="S12" s="262">
        <v>4</v>
      </c>
      <c r="T12" s="262">
        <v>4</v>
      </c>
      <c r="U12" s="264">
        <v>3</v>
      </c>
      <c r="V12" s="262">
        <v>4</v>
      </c>
      <c r="W12" s="136">
        <v>6</v>
      </c>
      <c r="X12" s="262">
        <v>4</v>
      </c>
      <c r="Y12" s="262">
        <v>4</v>
      </c>
      <c r="Z12" s="262">
        <v>4</v>
      </c>
      <c r="AA12" s="262">
        <v>4</v>
      </c>
      <c r="AB12" s="262">
        <v>4</v>
      </c>
      <c r="AC12" s="264">
        <v>3</v>
      </c>
      <c r="AD12" s="253" t="s">
        <v>2</v>
      </c>
      <c r="AE12" s="253" t="s">
        <v>2</v>
      </c>
      <c r="AF12" s="253"/>
      <c r="AH12" s="251" t="s">
        <v>132</v>
      </c>
    </row>
    <row r="13" spans="2:34 16378:16378">
      <c r="B13" s="260" t="s">
        <v>133</v>
      </c>
      <c r="C13" s="263">
        <v>1</v>
      </c>
      <c r="D13" s="263">
        <v>1</v>
      </c>
      <c r="E13" s="263">
        <v>1</v>
      </c>
      <c r="F13" s="263">
        <v>1</v>
      </c>
      <c r="G13" s="263">
        <v>1</v>
      </c>
      <c r="H13" s="263">
        <v>1</v>
      </c>
      <c r="I13" s="253" t="s">
        <v>2</v>
      </c>
      <c r="J13" s="253" t="s">
        <v>2</v>
      </c>
      <c r="K13" s="263">
        <v>1</v>
      </c>
      <c r="L13" s="263">
        <v>1</v>
      </c>
      <c r="M13" s="263">
        <v>1</v>
      </c>
      <c r="N13" s="263">
        <v>1</v>
      </c>
      <c r="O13" s="263">
        <v>1</v>
      </c>
      <c r="P13" s="253" t="s">
        <v>2</v>
      </c>
      <c r="Q13" s="253" t="s">
        <v>2</v>
      </c>
      <c r="R13" s="263">
        <v>1</v>
      </c>
      <c r="S13" s="263">
        <v>1</v>
      </c>
      <c r="T13" s="263">
        <v>1</v>
      </c>
      <c r="U13" s="263">
        <v>1</v>
      </c>
      <c r="V13" s="263">
        <v>1</v>
      </c>
      <c r="W13" s="253" t="s">
        <v>2</v>
      </c>
      <c r="X13" s="263">
        <v>1</v>
      </c>
      <c r="Y13" s="263">
        <v>1</v>
      </c>
      <c r="Z13" s="262">
        <v>4</v>
      </c>
      <c r="AA13" s="263">
        <v>1</v>
      </c>
      <c r="AB13" s="264">
        <v>3</v>
      </c>
      <c r="AC13" s="263">
        <v>1</v>
      </c>
      <c r="AD13" s="253" t="s">
        <v>2</v>
      </c>
      <c r="AE13" s="253" t="s">
        <v>2</v>
      </c>
      <c r="AF13" s="253"/>
    </row>
    <row r="14" spans="2:34 16378:16378">
      <c r="B14" s="260" t="s">
        <v>14</v>
      </c>
      <c r="C14" s="519" t="s">
        <v>134</v>
      </c>
      <c r="D14" s="520"/>
      <c r="E14" s="521"/>
      <c r="F14" s="263">
        <v>1</v>
      </c>
      <c r="G14" s="263">
        <v>1</v>
      </c>
      <c r="H14" s="263">
        <v>1</v>
      </c>
      <c r="I14" s="253" t="s">
        <v>2</v>
      </c>
      <c r="J14" s="253" t="s">
        <v>2</v>
      </c>
      <c r="K14" s="263">
        <v>1</v>
      </c>
      <c r="L14" s="263">
        <v>1</v>
      </c>
      <c r="M14" s="263">
        <v>1</v>
      </c>
      <c r="N14" s="263">
        <v>1</v>
      </c>
      <c r="O14" s="263">
        <v>1</v>
      </c>
      <c r="P14" s="253" t="s">
        <v>2</v>
      </c>
      <c r="Q14" s="253" t="s">
        <v>2</v>
      </c>
      <c r="R14" s="263">
        <v>1</v>
      </c>
      <c r="S14" s="263">
        <v>1</v>
      </c>
      <c r="T14" s="263">
        <v>1</v>
      </c>
      <c r="U14" s="263">
        <v>1</v>
      </c>
      <c r="V14" s="263">
        <v>1</v>
      </c>
      <c r="W14" s="253" t="s">
        <v>2</v>
      </c>
      <c r="X14" s="263" t="s">
        <v>129</v>
      </c>
      <c r="Y14" s="263" t="s">
        <v>129</v>
      </c>
      <c r="Z14" s="263" t="s">
        <v>129</v>
      </c>
      <c r="AA14" s="263" t="s">
        <v>129</v>
      </c>
      <c r="AB14" s="263" t="s">
        <v>129</v>
      </c>
      <c r="AC14" s="263">
        <v>1</v>
      </c>
      <c r="AD14" s="253" t="s">
        <v>2</v>
      </c>
      <c r="AE14" s="253" t="s">
        <v>2</v>
      </c>
      <c r="AF14" s="253"/>
    </row>
  </sheetData>
  <sheetProtection algorithmName="SHA-512" hashValue="j0o/CbHFulzt7jx649MGwh3PA8Xxd79VV3k6Dk5JN5YgG9x0WhKGfHkVIlY5E/3UNhDpc4qb6/TcWoo86ya0Ww==" saltValue="xChVHddZ0zindpN7MO8/cg==" spinCount="100000" sheet="1" objects="1" scenarios="1"/>
  <mergeCells count="3">
    <mergeCell ref="B3:AF3"/>
    <mergeCell ref="G9:AF9"/>
    <mergeCell ref="C14:E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8201-39E1-421F-9DEF-DC2C5AC25A50}">
  <sheetPr>
    <tabColor rgb="FF00B050"/>
  </sheetPr>
  <dimension ref="B2:P48"/>
  <sheetViews>
    <sheetView showGridLines="0" topLeftCell="G6" workbookViewId="0">
      <selection activeCell="N19" sqref="N19:O19"/>
    </sheetView>
  </sheetViews>
  <sheetFormatPr defaultRowHeight="15"/>
  <cols>
    <col min="1" max="2" width="12.85546875" customWidth="1"/>
    <col min="3" max="3" width="18.28515625" customWidth="1"/>
    <col min="4" max="6" width="12.85546875" customWidth="1"/>
    <col min="7" max="7" width="14.28515625" customWidth="1"/>
    <col min="8" max="11" width="12.85546875" customWidth="1"/>
    <col min="12" max="12" width="7.28515625" customWidth="1"/>
    <col min="14" max="16" width="12.5703125" bestFit="1" customWidth="1"/>
  </cols>
  <sheetData>
    <row r="2" spans="2:16">
      <c r="M2" s="532" t="s">
        <v>135</v>
      </c>
      <c r="N2" s="532" t="s">
        <v>136</v>
      </c>
      <c r="O2" s="532" t="s">
        <v>137</v>
      </c>
      <c r="P2" s="532" t="s">
        <v>138</v>
      </c>
    </row>
    <row r="3" spans="2:16">
      <c r="B3" s="97" t="s">
        <v>28</v>
      </c>
      <c r="C3" s="413" t="s">
        <v>29</v>
      </c>
      <c r="D3" s="414"/>
      <c r="E3" s="98" t="s">
        <v>30</v>
      </c>
      <c r="F3" s="98" t="s">
        <v>31</v>
      </c>
      <c r="G3" s="98" t="s">
        <v>32</v>
      </c>
      <c r="H3" s="98" t="s">
        <v>33</v>
      </c>
      <c r="I3" s="98" t="s">
        <v>34</v>
      </c>
      <c r="J3" s="98" t="s">
        <v>35</v>
      </c>
      <c r="K3" s="98" t="s">
        <v>36</v>
      </c>
      <c r="M3" s="532"/>
      <c r="N3" s="532"/>
      <c r="O3" s="532"/>
      <c r="P3" s="532"/>
    </row>
    <row r="4" spans="2:16">
      <c r="B4" s="415" t="s">
        <v>37</v>
      </c>
      <c r="C4" s="415" t="s">
        <v>38</v>
      </c>
      <c r="D4" s="99" t="s">
        <v>39</v>
      </c>
      <c r="E4" s="100">
        <v>0.29166666666666669</v>
      </c>
      <c r="F4" s="100">
        <v>0.29166666666666669</v>
      </c>
      <c r="G4" s="100">
        <v>0.29166666666666669</v>
      </c>
      <c r="H4" s="100">
        <v>0.29166666666666669</v>
      </c>
      <c r="I4" s="100">
        <v>0.29166666666666669</v>
      </c>
      <c r="J4" s="100">
        <v>0.29166666666666669</v>
      </c>
      <c r="K4" s="100"/>
      <c r="M4" s="306">
        <v>1</v>
      </c>
      <c r="N4" s="307" t="s">
        <v>139</v>
      </c>
      <c r="O4" s="307" t="s">
        <v>140</v>
      </c>
      <c r="P4" s="308">
        <v>0.5</v>
      </c>
    </row>
    <row r="5" spans="2:16">
      <c r="B5" s="415"/>
      <c r="C5" s="415"/>
      <c r="D5" s="99" t="s">
        <v>40</v>
      </c>
      <c r="E5" s="100">
        <v>0.625</v>
      </c>
      <c r="F5" s="100">
        <v>0.625</v>
      </c>
      <c r="G5" s="100">
        <v>0.625</v>
      </c>
      <c r="H5" s="100">
        <v>0.625</v>
      </c>
      <c r="I5" s="100">
        <v>0.625</v>
      </c>
      <c r="J5" s="100">
        <v>0.625</v>
      </c>
      <c r="K5" s="100"/>
      <c r="M5" s="298">
        <v>2</v>
      </c>
      <c r="N5" s="296" t="s">
        <v>141</v>
      </c>
      <c r="O5" s="296" t="s">
        <v>142</v>
      </c>
      <c r="P5" s="297">
        <v>0.5</v>
      </c>
    </row>
    <row r="6" spans="2:16">
      <c r="B6" s="415"/>
      <c r="C6" s="416"/>
      <c r="D6" s="101" t="s">
        <v>36</v>
      </c>
      <c r="E6" s="102">
        <f t="shared" ref="E6:J6" si="0">E5-E4</f>
        <v>0.33333333333333331</v>
      </c>
      <c r="F6" s="102">
        <f t="shared" si="0"/>
        <v>0.33333333333333331</v>
      </c>
      <c r="G6" s="102">
        <f t="shared" si="0"/>
        <v>0.33333333333333331</v>
      </c>
      <c r="H6" s="102">
        <f t="shared" si="0"/>
        <v>0.33333333333333331</v>
      </c>
      <c r="I6" s="102">
        <f t="shared" si="0"/>
        <v>0.33333333333333331</v>
      </c>
      <c r="J6" s="102">
        <f t="shared" si="0"/>
        <v>0.33333333333333331</v>
      </c>
      <c r="K6" s="102"/>
      <c r="M6" s="299">
        <v>3</v>
      </c>
      <c r="N6" s="296" t="s">
        <v>143</v>
      </c>
      <c r="O6" s="296" t="s">
        <v>144</v>
      </c>
      <c r="P6" s="296" t="s">
        <v>145</v>
      </c>
    </row>
    <row r="7" spans="2:16">
      <c r="B7" s="69"/>
      <c r="C7" s="417" t="s">
        <v>41</v>
      </c>
      <c r="D7" s="417"/>
      <c r="E7" s="103">
        <v>7</v>
      </c>
      <c r="F7" s="103">
        <v>7</v>
      </c>
      <c r="G7" s="103">
        <v>7</v>
      </c>
      <c r="H7" s="103">
        <v>7</v>
      </c>
      <c r="I7" s="103">
        <v>7</v>
      </c>
      <c r="J7" s="103">
        <v>7</v>
      </c>
      <c r="K7" s="103">
        <f>SUM(E7:J7)</f>
        <v>42</v>
      </c>
      <c r="M7" s="300">
        <v>4</v>
      </c>
      <c r="N7" s="297" t="s">
        <v>146</v>
      </c>
      <c r="O7" s="296" t="s">
        <v>147</v>
      </c>
      <c r="P7" s="296" t="s">
        <v>145</v>
      </c>
    </row>
    <row r="8" spans="2:16">
      <c r="C8" s="418" t="s">
        <v>44</v>
      </c>
      <c r="D8" s="419"/>
      <c r="E8" s="104" t="s">
        <v>45</v>
      </c>
      <c r="F8" s="104" t="s">
        <v>45</v>
      </c>
      <c r="G8" s="104" t="s">
        <v>45</v>
      </c>
      <c r="H8" s="104" t="s">
        <v>45</v>
      </c>
      <c r="I8" s="104" t="s">
        <v>45</v>
      </c>
      <c r="J8" s="104" t="s">
        <v>45</v>
      </c>
      <c r="K8" s="105"/>
      <c r="M8" s="301">
        <v>5</v>
      </c>
      <c r="N8" s="302" t="s">
        <v>148</v>
      </c>
      <c r="O8" s="302" t="s">
        <v>149</v>
      </c>
      <c r="P8" s="303">
        <v>0.625</v>
      </c>
    </row>
    <row r="9" spans="2:16">
      <c r="M9" s="304">
        <v>6</v>
      </c>
      <c r="N9" s="533">
        <v>0.39583333333333331</v>
      </c>
      <c r="O9" s="468"/>
      <c r="P9" s="296" t="s">
        <v>145</v>
      </c>
    </row>
    <row r="10" spans="2:16">
      <c r="B10" s="68" t="s">
        <v>28</v>
      </c>
      <c r="C10" s="425" t="s">
        <v>29</v>
      </c>
      <c r="D10" s="425"/>
      <c r="E10" s="89" t="s">
        <v>30</v>
      </c>
      <c r="F10" s="89" t="s">
        <v>31</v>
      </c>
      <c r="G10" s="89" t="s">
        <v>32</v>
      </c>
      <c r="H10" s="89" t="s">
        <v>33</v>
      </c>
      <c r="I10" s="89" t="s">
        <v>34</v>
      </c>
      <c r="J10" s="89" t="s">
        <v>35</v>
      </c>
      <c r="K10" s="89" t="s">
        <v>36</v>
      </c>
      <c r="M10" s="305">
        <v>7</v>
      </c>
      <c r="N10" s="533">
        <v>0.64583333333333337</v>
      </c>
      <c r="O10" s="468"/>
      <c r="P10" s="296" t="s">
        <v>145</v>
      </c>
    </row>
    <row r="11" spans="2:16">
      <c r="B11" s="426" t="s">
        <v>37</v>
      </c>
      <c r="C11" s="427" t="s">
        <v>47</v>
      </c>
      <c r="D11" s="90" t="s">
        <v>39</v>
      </c>
      <c r="E11" s="91">
        <v>0.33333333333333331</v>
      </c>
      <c r="F11" s="91">
        <v>0.33333333333333331</v>
      </c>
      <c r="G11" s="91">
        <v>0.33333333333333331</v>
      </c>
      <c r="H11" s="91">
        <v>0.33333333333333331</v>
      </c>
      <c r="I11" s="91">
        <v>0.33333333333333331</v>
      </c>
      <c r="J11" s="91"/>
      <c r="K11" s="90"/>
    </row>
    <row r="12" spans="2:16">
      <c r="B12" s="426"/>
      <c r="C12" s="427"/>
      <c r="D12" s="90" t="s">
        <v>40</v>
      </c>
      <c r="E12" s="92">
        <v>0.70833333333333337</v>
      </c>
      <c r="F12" s="92">
        <v>0.70833333333333337</v>
      </c>
      <c r="G12" s="92">
        <v>0.70833333333333337</v>
      </c>
      <c r="H12" s="92">
        <v>0.75</v>
      </c>
      <c r="I12" s="92">
        <v>0.75</v>
      </c>
      <c r="J12" s="92"/>
      <c r="K12" s="90"/>
      <c r="M12" s="532" t="s">
        <v>135</v>
      </c>
      <c r="N12" s="532" t="s">
        <v>136</v>
      </c>
      <c r="O12" s="532" t="s">
        <v>137</v>
      </c>
      <c r="P12" s="532" t="s">
        <v>138</v>
      </c>
    </row>
    <row r="13" spans="2:16">
      <c r="B13" s="426"/>
      <c r="C13" s="427"/>
      <c r="D13" s="90" t="s">
        <v>36</v>
      </c>
      <c r="E13" s="91">
        <f t="shared" ref="E13:F13" si="1">E12-E11</f>
        <v>0.37500000000000006</v>
      </c>
      <c r="F13" s="91">
        <f t="shared" si="1"/>
        <v>0.37500000000000006</v>
      </c>
      <c r="G13" s="91">
        <f t="shared" ref="G13" si="2">G12-G11</f>
        <v>0.37500000000000006</v>
      </c>
      <c r="H13" s="91">
        <f t="shared" ref="H13" si="3">H12-H11</f>
        <v>0.41666666666666669</v>
      </c>
      <c r="I13" s="91">
        <f t="shared" ref="I13" si="4">I12-I11</f>
        <v>0.41666666666666669</v>
      </c>
      <c r="J13" s="91"/>
      <c r="K13" s="93"/>
      <c r="M13" s="532"/>
      <c r="N13" s="532"/>
      <c r="O13" s="532"/>
      <c r="P13" s="532"/>
    </row>
    <row r="14" spans="2:16">
      <c r="C14" s="428" t="s">
        <v>41</v>
      </c>
      <c r="D14" s="428"/>
      <c r="E14" s="70">
        <v>8</v>
      </c>
      <c r="F14" s="70">
        <v>8</v>
      </c>
      <c r="G14" s="70">
        <v>8</v>
      </c>
      <c r="H14" s="70">
        <v>9</v>
      </c>
      <c r="I14" s="70">
        <v>9</v>
      </c>
      <c r="J14" s="70"/>
      <c r="K14" s="94">
        <f>SUM(E14:I14)</f>
        <v>42</v>
      </c>
      <c r="M14" s="306">
        <v>1</v>
      </c>
      <c r="N14" s="307" t="s">
        <v>139</v>
      </c>
      <c r="O14" s="307" t="s">
        <v>150</v>
      </c>
      <c r="P14" s="308">
        <v>0.5</v>
      </c>
    </row>
    <row r="15" spans="2:16">
      <c r="C15" s="429" t="s">
        <v>44</v>
      </c>
      <c r="D15" s="430"/>
      <c r="E15" s="95" t="s">
        <v>45</v>
      </c>
      <c r="F15" s="95" t="s">
        <v>45</v>
      </c>
      <c r="G15" s="95" t="s">
        <v>45</v>
      </c>
      <c r="H15" s="95" t="s">
        <v>45</v>
      </c>
      <c r="I15" s="95" t="s">
        <v>45</v>
      </c>
      <c r="J15" s="95"/>
      <c r="K15" s="96"/>
      <c r="M15" s="298">
        <v>2</v>
      </c>
      <c r="N15" s="296" t="s">
        <v>141</v>
      </c>
      <c r="O15" s="296" t="s">
        <v>151</v>
      </c>
      <c r="P15" s="297">
        <v>0.5</v>
      </c>
    </row>
    <row r="16" spans="2:16">
      <c r="M16" s="299">
        <v>3</v>
      </c>
      <c r="N16" s="296" t="s">
        <v>143</v>
      </c>
      <c r="O16" s="296" t="s">
        <v>144</v>
      </c>
      <c r="P16" s="296" t="s">
        <v>145</v>
      </c>
    </row>
    <row r="17" spans="2:16">
      <c r="B17" s="160" t="s">
        <v>28</v>
      </c>
      <c r="C17" s="452" t="s">
        <v>29</v>
      </c>
      <c r="D17" s="453"/>
      <c r="E17" s="161" t="s">
        <v>30</v>
      </c>
      <c r="F17" s="161" t="s">
        <v>31</v>
      </c>
      <c r="G17" s="161" t="s">
        <v>32</v>
      </c>
      <c r="H17" s="161" t="s">
        <v>33</v>
      </c>
      <c r="I17" s="161" t="s">
        <v>34</v>
      </c>
      <c r="J17" s="161" t="s">
        <v>35</v>
      </c>
      <c r="K17" s="161" t="s">
        <v>36</v>
      </c>
      <c r="M17" s="300">
        <v>4</v>
      </c>
      <c r="N17" s="297" t="s">
        <v>152</v>
      </c>
      <c r="O17" s="296" t="s">
        <v>147</v>
      </c>
      <c r="P17" s="296" t="s">
        <v>145</v>
      </c>
    </row>
    <row r="18" spans="2:16">
      <c r="B18" s="450" t="s">
        <v>37</v>
      </c>
      <c r="C18" s="450" t="s">
        <v>56</v>
      </c>
      <c r="D18" s="162" t="s">
        <v>39</v>
      </c>
      <c r="E18" s="163">
        <v>0.25</v>
      </c>
      <c r="F18" s="163">
        <v>0.25</v>
      </c>
      <c r="G18" s="163">
        <v>0.25</v>
      </c>
      <c r="H18" s="163">
        <v>0.25</v>
      </c>
      <c r="I18" s="163">
        <v>0.25</v>
      </c>
      <c r="J18" s="163">
        <v>0.25</v>
      </c>
      <c r="K18" s="163"/>
      <c r="M18" s="301">
        <v>5</v>
      </c>
      <c r="N18" s="302" t="s">
        <v>153</v>
      </c>
      <c r="O18" s="302" t="s">
        <v>149</v>
      </c>
      <c r="P18" s="303">
        <v>0.625</v>
      </c>
    </row>
    <row r="19" spans="2:16">
      <c r="B19" s="450"/>
      <c r="C19" s="450"/>
      <c r="D19" s="162" t="s">
        <v>40</v>
      </c>
      <c r="E19" s="163">
        <v>0.54166666666666663</v>
      </c>
      <c r="F19" s="163">
        <v>0.54166666666666663</v>
      </c>
      <c r="G19" s="163">
        <v>0.54166666666666663</v>
      </c>
      <c r="H19" s="163">
        <v>0.54166666666666663</v>
      </c>
      <c r="I19" s="163">
        <v>0.54166666666666663</v>
      </c>
      <c r="J19" s="163">
        <v>0.54166666666666663</v>
      </c>
      <c r="K19" s="163"/>
      <c r="M19" s="304">
        <v>6</v>
      </c>
      <c r="N19" s="533">
        <v>0.39583333333333331</v>
      </c>
      <c r="O19" s="468"/>
      <c r="P19" s="296" t="s">
        <v>145</v>
      </c>
    </row>
    <row r="20" spans="2:16">
      <c r="B20" s="450"/>
      <c r="C20" s="451"/>
      <c r="D20" s="164" t="s">
        <v>36</v>
      </c>
      <c r="E20" s="165">
        <f t="shared" ref="E20:J20" si="5">E19-E18</f>
        <v>0.29166666666666663</v>
      </c>
      <c r="F20" s="165">
        <f t="shared" si="5"/>
        <v>0.29166666666666663</v>
      </c>
      <c r="G20" s="165">
        <f t="shared" si="5"/>
        <v>0.29166666666666663</v>
      </c>
      <c r="H20" s="165">
        <f t="shared" si="5"/>
        <v>0.29166666666666663</v>
      </c>
      <c r="I20" s="165">
        <f t="shared" si="5"/>
        <v>0.29166666666666663</v>
      </c>
      <c r="J20" s="165">
        <f t="shared" si="5"/>
        <v>0.29166666666666663</v>
      </c>
      <c r="K20" s="165"/>
      <c r="M20" s="305">
        <v>7</v>
      </c>
      <c r="N20" s="533">
        <v>0.64583333333333337</v>
      </c>
      <c r="O20" s="468"/>
      <c r="P20" s="296" t="s">
        <v>145</v>
      </c>
    </row>
    <row r="21" spans="2:16">
      <c r="B21" s="69"/>
      <c r="C21" s="454" t="s">
        <v>41</v>
      </c>
      <c r="D21" s="454"/>
      <c r="E21" s="166">
        <v>7</v>
      </c>
      <c r="F21" s="166">
        <v>7</v>
      </c>
      <c r="G21" s="166">
        <v>7</v>
      </c>
      <c r="H21" s="166">
        <v>7</v>
      </c>
      <c r="I21" s="166">
        <v>7</v>
      </c>
      <c r="J21" s="166">
        <v>7</v>
      </c>
      <c r="K21" s="270">
        <f>SUM(E21:J21)</f>
        <v>42</v>
      </c>
    </row>
    <row r="22" spans="2:16">
      <c r="C22" s="455" t="s">
        <v>44</v>
      </c>
      <c r="D22" s="456"/>
      <c r="E22" s="167" t="s">
        <v>49</v>
      </c>
      <c r="F22" s="167" t="s">
        <v>49</v>
      </c>
      <c r="G22" s="167" t="s">
        <v>49</v>
      </c>
      <c r="H22" s="167" t="s">
        <v>49</v>
      </c>
      <c r="I22" s="167" t="s">
        <v>49</v>
      </c>
      <c r="J22" s="167" t="s">
        <v>46</v>
      </c>
      <c r="K22" s="168"/>
    </row>
    <row r="24" spans="2:16">
      <c r="B24" s="151" t="s">
        <v>28</v>
      </c>
      <c r="C24" s="457" t="s">
        <v>29</v>
      </c>
      <c r="D24" s="458"/>
      <c r="E24" s="152" t="s">
        <v>30</v>
      </c>
      <c r="F24" s="152" t="s">
        <v>31</v>
      </c>
      <c r="G24" s="152" t="s">
        <v>32</v>
      </c>
      <c r="H24" s="152" t="s">
        <v>33</v>
      </c>
      <c r="I24" s="152" t="s">
        <v>34</v>
      </c>
      <c r="J24" s="152" t="s">
        <v>35</v>
      </c>
      <c r="K24" s="152" t="s">
        <v>36</v>
      </c>
    </row>
    <row r="25" spans="2:16">
      <c r="B25" s="459" t="s">
        <v>37</v>
      </c>
      <c r="C25" s="459" t="s">
        <v>57</v>
      </c>
      <c r="D25" s="153" t="s">
        <v>39</v>
      </c>
      <c r="E25" s="154">
        <v>0.58333333333333337</v>
      </c>
      <c r="F25" s="154">
        <v>0.58333333333333337</v>
      </c>
      <c r="G25" s="154">
        <v>0.58333333333333337</v>
      </c>
      <c r="H25" s="154">
        <v>0.58333333333333337</v>
      </c>
      <c r="I25" s="154">
        <v>0.58333333333333337</v>
      </c>
      <c r="J25" s="154">
        <v>0.58333333333333337</v>
      </c>
      <c r="K25" s="154"/>
    </row>
    <row r="26" spans="2:16">
      <c r="B26" s="459"/>
      <c r="C26" s="459"/>
      <c r="D26" s="153" t="s">
        <v>40</v>
      </c>
      <c r="E26" s="154">
        <v>0.875</v>
      </c>
      <c r="F26" s="154">
        <v>0.875</v>
      </c>
      <c r="G26" s="154">
        <v>0.875</v>
      </c>
      <c r="H26" s="154">
        <v>0.875</v>
      </c>
      <c r="I26" s="154">
        <v>0.875</v>
      </c>
      <c r="J26" s="154">
        <v>0.875</v>
      </c>
      <c r="K26" s="154"/>
    </row>
    <row r="27" spans="2:16">
      <c r="B27" s="459"/>
      <c r="C27" s="460"/>
      <c r="D27" s="155" t="s">
        <v>36</v>
      </c>
      <c r="E27" s="156">
        <f>E26-E25</f>
        <v>0.29166666666666663</v>
      </c>
      <c r="F27" s="156">
        <f>F26-F25</f>
        <v>0.29166666666666663</v>
      </c>
      <c r="G27" s="156">
        <f>G26-G25</f>
        <v>0.29166666666666663</v>
      </c>
      <c r="H27" s="156">
        <f>H26-H25</f>
        <v>0.29166666666666663</v>
      </c>
      <c r="I27" s="156">
        <f>I26-I25</f>
        <v>0.29166666666666663</v>
      </c>
      <c r="J27" s="156">
        <f>J26-J25</f>
        <v>0.29166666666666663</v>
      </c>
      <c r="K27" s="156"/>
    </row>
    <row r="28" spans="2:16">
      <c r="B28" s="69"/>
      <c r="C28" s="461" t="s">
        <v>41</v>
      </c>
      <c r="D28" s="461"/>
      <c r="E28" s="157">
        <v>7</v>
      </c>
      <c r="F28" s="157">
        <v>7</v>
      </c>
      <c r="G28" s="157">
        <v>7</v>
      </c>
      <c r="H28" s="157">
        <v>7</v>
      </c>
      <c r="I28" s="157">
        <v>7</v>
      </c>
      <c r="J28" s="157">
        <v>7</v>
      </c>
      <c r="K28" s="157">
        <f>SUM(E28:J28)</f>
        <v>42</v>
      </c>
    </row>
    <row r="29" spans="2:16">
      <c r="C29" s="462" t="s">
        <v>44</v>
      </c>
      <c r="D29" s="463"/>
      <c r="E29" s="158" t="s">
        <v>49</v>
      </c>
      <c r="F29" s="158" t="s">
        <v>49</v>
      </c>
      <c r="G29" s="158" t="s">
        <v>49</v>
      </c>
      <c r="H29" s="158" t="s">
        <v>49</v>
      </c>
      <c r="I29" s="158" t="s">
        <v>49</v>
      </c>
      <c r="J29" s="158" t="s">
        <v>49</v>
      </c>
      <c r="K29" s="159"/>
    </row>
    <row r="32" spans="2:16">
      <c r="B32" s="278" t="s">
        <v>28</v>
      </c>
      <c r="C32" s="522" t="s">
        <v>29</v>
      </c>
      <c r="D32" s="523"/>
      <c r="E32" s="279" t="s">
        <v>30</v>
      </c>
      <c r="F32" s="279" t="s">
        <v>31</v>
      </c>
      <c r="G32" s="279" t="s">
        <v>32</v>
      </c>
      <c r="H32" s="279" t="s">
        <v>33</v>
      </c>
      <c r="I32" s="279" t="s">
        <v>34</v>
      </c>
      <c r="J32" s="279" t="s">
        <v>35</v>
      </c>
      <c r="K32" s="279" t="s">
        <v>36</v>
      </c>
    </row>
    <row r="33" spans="2:11">
      <c r="B33" s="524" t="s">
        <v>37</v>
      </c>
      <c r="C33" s="525" t="s">
        <v>154</v>
      </c>
      <c r="D33" s="280" t="s">
        <v>39</v>
      </c>
      <c r="E33" s="281">
        <v>0.45833333333333331</v>
      </c>
      <c r="F33" s="281">
        <v>0.45833333333333331</v>
      </c>
      <c r="G33" s="281">
        <v>0.45833333333333331</v>
      </c>
      <c r="H33" s="281">
        <v>0.45833333333333331</v>
      </c>
      <c r="I33" s="281">
        <v>0.45833333333333331</v>
      </c>
      <c r="J33" s="281">
        <v>0.45833333333333331</v>
      </c>
      <c r="K33" s="281"/>
    </row>
    <row r="34" spans="2:11">
      <c r="B34" s="524"/>
      <c r="C34" s="526"/>
      <c r="D34" s="280" t="s">
        <v>40</v>
      </c>
      <c r="E34" s="281">
        <v>0.79166666666666663</v>
      </c>
      <c r="F34" s="281">
        <v>0.79166666666666663</v>
      </c>
      <c r="G34" s="281">
        <v>0.79166666666666663</v>
      </c>
      <c r="H34" s="281">
        <v>0.79166666666666663</v>
      </c>
      <c r="I34" s="281">
        <v>0.79166666666666663</v>
      </c>
      <c r="J34" s="281">
        <v>0.79166666666666663</v>
      </c>
      <c r="K34" s="281"/>
    </row>
    <row r="35" spans="2:11">
      <c r="B35" s="524"/>
      <c r="C35" s="527"/>
      <c r="D35" s="282" t="s">
        <v>36</v>
      </c>
      <c r="E35" s="283">
        <f>E34-E33</f>
        <v>0.33333333333333331</v>
      </c>
      <c r="F35" s="283">
        <f>F34-F33</f>
        <v>0.33333333333333331</v>
      </c>
      <c r="G35" s="283">
        <f>G34-G33</f>
        <v>0.33333333333333331</v>
      </c>
      <c r="H35" s="283">
        <f>H34-H33</f>
        <v>0.33333333333333331</v>
      </c>
      <c r="I35" s="283">
        <f>I34-I33</f>
        <v>0.33333333333333331</v>
      </c>
      <c r="J35" s="283">
        <f>J34-J33</f>
        <v>0.33333333333333331</v>
      </c>
      <c r="K35" s="283"/>
    </row>
    <row r="36" spans="2:11">
      <c r="B36" s="287"/>
      <c r="C36" s="528" t="s">
        <v>41</v>
      </c>
      <c r="D36" s="529"/>
      <c r="E36" s="284">
        <v>7</v>
      </c>
      <c r="F36" s="284">
        <v>7</v>
      </c>
      <c r="G36" s="284">
        <v>7</v>
      </c>
      <c r="H36" s="284">
        <v>7</v>
      </c>
      <c r="I36" s="284">
        <v>7</v>
      </c>
      <c r="J36" s="284">
        <v>7</v>
      </c>
      <c r="K36" s="284">
        <f>SUM(E36:J36)</f>
        <v>42</v>
      </c>
    </row>
    <row r="37" spans="2:11">
      <c r="B37" s="288"/>
      <c r="C37" s="530" t="s">
        <v>44</v>
      </c>
      <c r="D37" s="531"/>
      <c r="E37" s="285" t="s">
        <v>80</v>
      </c>
      <c r="F37" s="285" t="s">
        <v>80</v>
      </c>
      <c r="G37" s="285" t="s">
        <v>80</v>
      </c>
      <c r="H37" s="285" t="s">
        <v>80</v>
      </c>
      <c r="I37" s="285" t="s">
        <v>80</v>
      </c>
      <c r="J37" s="285" t="s">
        <v>49</v>
      </c>
      <c r="K37" s="286"/>
    </row>
    <row r="40" spans="2:11" ht="29.25">
      <c r="B40" s="128" t="s">
        <v>28</v>
      </c>
      <c r="C40" s="442" t="s">
        <v>29</v>
      </c>
      <c r="D40" s="442"/>
      <c r="E40" s="131" t="s">
        <v>51</v>
      </c>
    </row>
    <row r="41" spans="2:11">
      <c r="B41" s="443" t="s">
        <v>37</v>
      </c>
      <c r="C41" s="443" t="s">
        <v>59</v>
      </c>
      <c r="D41" s="129" t="s">
        <v>39</v>
      </c>
      <c r="E41" s="130">
        <v>0.25</v>
      </c>
    </row>
    <row r="42" spans="2:11">
      <c r="B42" s="443"/>
      <c r="C42" s="443"/>
      <c r="D42" s="129" t="s">
        <v>40</v>
      </c>
      <c r="E42" s="130">
        <v>0.58333333333333337</v>
      </c>
    </row>
    <row r="43" spans="2:11">
      <c r="B43" s="443"/>
      <c r="C43" s="443"/>
      <c r="D43" s="129" t="s">
        <v>36</v>
      </c>
      <c r="E43" s="130">
        <f>E42-E41</f>
        <v>0.33333333333333337</v>
      </c>
    </row>
    <row r="45" spans="2:11" ht="29.25">
      <c r="B45" s="106" t="s">
        <v>28</v>
      </c>
      <c r="C45" s="441" t="s">
        <v>29</v>
      </c>
      <c r="D45" s="441"/>
      <c r="E45" s="132" t="s">
        <v>51</v>
      </c>
    </row>
    <row r="46" spans="2:11">
      <c r="B46" s="435" t="s">
        <v>37</v>
      </c>
      <c r="C46" s="435" t="s">
        <v>155</v>
      </c>
      <c r="D46" s="126" t="s">
        <v>39</v>
      </c>
      <c r="E46" s="127">
        <v>0.5</v>
      </c>
    </row>
    <row r="47" spans="2:11">
      <c r="B47" s="435"/>
      <c r="C47" s="435"/>
      <c r="D47" s="126" t="s">
        <v>40</v>
      </c>
      <c r="E47" s="127">
        <v>0.83333333333333337</v>
      </c>
    </row>
    <row r="48" spans="2:11">
      <c r="B48" s="435"/>
      <c r="C48" s="435"/>
      <c r="D48" s="126" t="s">
        <v>36</v>
      </c>
      <c r="E48" s="127">
        <f>E47-E46</f>
        <v>0.33333333333333337</v>
      </c>
    </row>
  </sheetData>
  <mergeCells count="43">
    <mergeCell ref="N20:O20"/>
    <mergeCell ref="M12:M13"/>
    <mergeCell ref="N12:N13"/>
    <mergeCell ref="O12:O13"/>
    <mergeCell ref="P12:P13"/>
    <mergeCell ref="N19:O19"/>
    <mergeCell ref="P2:P3"/>
    <mergeCell ref="N9:O9"/>
    <mergeCell ref="N10:O10"/>
    <mergeCell ref="M2:M3"/>
    <mergeCell ref="N2:N3"/>
    <mergeCell ref="O2:O3"/>
    <mergeCell ref="C14:D14"/>
    <mergeCell ref="C17:D17"/>
    <mergeCell ref="C3:D3"/>
    <mergeCell ref="B4:B6"/>
    <mergeCell ref="C4:C6"/>
    <mergeCell ref="C15:D15"/>
    <mergeCell ref="C7:D7"/>
    <mergeCell ref="C8:D8"/>
    <mergeCell ref="C10:D10"/>
    <mergeCell ref="B11:B13"/>
    <mergeCell ref="C11:C13"/>
    <mergeCell ref="B18:B20"/>
    <mergeCell ref="C18:C20"/>
    <mergeCell ref="C21:D21"/>
    <mergeCell ref="C22:D22"/>
    <mergeCell ref="C45:D45"/>
    <mergeCell ref="B46:B48"/>
    <mergeCell ref="C46:C48"/>
    <mergeCell ref="C24:D24"/>
    <mergeCell ref="B25:B27"/>
    <mergeCell ref="C25:C27"/>
    <mergeCell ref="C28:D28"/>
    <mergeCell ref="C29:D29"/>
    <mergeCell ref="C32:D32"/>
    <mergeCell ref="C40:D40"/>
    <mergeCell ref="B41:B43"/>
    <mergeCell ref="C41:C43"/>
    <mergeCell ref="B33:B35"/>
    <mergeCell ref="C33:C35"/>
    <mergeCell ref="C36:D36"/>
    <mergeCell ref="C37:D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186F-7EEE-4F95-A1C5-D6B5FFA1D5FA}">
  <sheetPr>
    <tabColor rgb="FF00B0F0"/>
  </sheetPr>
  <dimension ref="C2:AM16"/>
  <sheetViews>
    <sheetView workbookViewId="0">
      <selection activeCell="C12" sqref="C12"/>
    </sheetView>
  </sheetViews>
  <sheetFormatPr defaultRowHeight="15"/>
  <cols>
    <col min="3" max="3" width="56.42578125" customWidth="1"/>
    <col min="4" max="4" width="3.28515625" customWidth="1"/>
    <col min="5" max="39" width="3.42578125" customWidth="1"/>
  </cols>
  <sheetData>
    <row r="2" spans="3:39" ht="23.25">
      <c r="C2" s="515" t="s">
        <v>156</v>
      </c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</row>
    <row r="3" spans="3:39">
      <c r="U3">
        <v>0</v>
      </c>
    </row>
    <row r="5" spans="3:39">
      <c r="C5" s="251"/>
      <c r="D5" s="253">
        <v>28</v>
      </c>
      <c r="E5" s="253">
        <v>29</v>
      </c>
      <c r="F5" s="253">
        <v>30</v>
      </c>
      <c r="G5" s="253">
        <v>1</v>
      </c>
      <c r="H5" s="253">
        <v>2</v>
      </c>
      <c r="I5" s="253">
        <v>3</v>
      </c>
      <c r="J5" s="253">
        <v>4</v>
      </c>
      <c r="K5" s="253">
        <v>5</v>
      </c>
      <c r="L5" s="253">
        <v>6</v>
      </c>
      <c r="M5" s="253">
        <v>7</v>
      </c>
      <c r="N5" s="253">
        <v>8</v>
      </c>
      <c r="O5" s="253">
        <v>9</v>
      </c>
      <c r="P5" s="253">
        <v>10</v>
      </c>
      <c r="Q5" s="253">
        <v>11</v>
      </c>
      <c r="R5" s="253">
        <v>12</v>
      </c>
      <c r="S5" s="253">
        <v>13</v>
      </c>
      <c r="T5" s="253">
        <v>14</v>
      </c>
      <c r="U5" s="253">
        <v>15</v>
      </c>
      <c r="V5" s="253">
        <v>16</v>
      </c>
      <c r="W5" s="253">
        <v>17</v>
      </c>
      <c r="X5" s="253">
        <v>18</v>
      </c>
      <c r="Y5" s="253">
        <v>19</v>
      </c>
      <c r="Z5" s="253">
        <v>20</v>
      </c>
      <c r="AA5" s="253">
        <v>21</v>
      </c>
      <c r="AB5" s="253">
        <v>22</v>
      </c>
      <c r="AC5" s="272">
        <v>23</v>
      </c>
      <c r="AD5" s="253">
        <v>24</v>
      </c>
      <c r="AE5" s="253">
        <v>25</v>
      </c>
      <c r="AF5" s="253">
        <v>26</v>
      </c>
      <c r="AG5" s="253">
        <v>27</v>
      </c>
      <c r="AH5" s="253">
        <v>28</v>
      </c>
      <c r="AI5" s="272">
        <v>29</v>
      </c>
      <c r="AJ5" s="253">
        <v>30</v>
      </c>
      <c r="AK5" s="253">
        <v>31</v>
      </c>
      <c r="AL5" s="253">
        <v>1</v>
      </c>
      <c r="AM5" s="292">
        <v>2</v>
      </c>
    </row>
    <row r="6" spans="3:39">
      <c r="C6" s="331" t="s">
        <v>1</v>
      </c>
      <c r="D6" s="326" t="s">
        <v>7</v>
      </c>
      <c r="E6" s="257" t="s">
        <v>2</v>
      </c>
      <c r="F6" s="256" t="s">
        <v>3</v>
      </c>
      <c r="G6" s="256" t="s">
        <v>3</v>
      </c>
      <c r="H6" s="256" t="s">
        <v>4</v>
      </c>
      <c r="I6" s="256" t="s">
        <v>5</v>
      </c>
      <c r="J6" s="256" t="s">
        <v>6</v>
      </c>
      <c r="K6" s="258" t="s">
        <v>7</v>
      </c>
      <c r="L6" s="273" t="s">
        <v>2</v>
      </c>
      <c r="M6" s="256" t="s">
        <v>3</v>
      </c>
      <c r="N6" s="256" t="s">
        <v>3</v>
      </c>
      <c r="O6" s="256" t="s">
        <v>4</v>
      </c>
      <c r="P6" s="256" t="s">
        <v>5</v>
      </c>
      <c r="Q6" s="256" t="s">
        <v>6</v>
      </c>
      <c r="R6" s="258" t="s">
        <v>7</v>
      </c>
      <c r="S6" s="273" t="s">
        <v>2</v>
      </c>
      <c r="T6" s="256" t="s">
        <v>3</v>
      </c>
      <c r="U6" s="256" t="s">
        <v>3</v>
      </c>
      <c r="V6" s="256" t="s">
        <v>4</v>
      </c>
      <c r="W6" s="256" t="s">
        <v>5</v>
      </c>
      <c r="X6" s="256" t="s">
        <v>6</v>
      </c>
      <c r="Y6" s="258" t="s">
        <v>7</v>
      </c>
      <c r="Z6" s="257" t="s">
        <v>2</v>
      </c>
      <c r="AA6" s="256" t="s">
        <v>3</v>
      </c>
      <c r="AB6" s="256" t="s">
        <v>3</v>
      </c>
      <c r="AC6" s="256" t="s">
        <v>4</v>
      </c>
      <c r="AD6" s="256" t="s">
        <v>5</v>
      </c>
      <c r="AE6" s="256" t="s">
        <v>6</v>
      </c>
      <c r="AF6" s="258" t="s">
        <v>7</v>
      </c>
      <c r="AG6" s="273" t="s">
        <v>2</v>
      </c>
      <c r="AH6" s="256" t="s">
        <v>3</v>
      </c>
      <c r="AI6" s="256" t="s">
        <v>3</v>
      </c>
      <c r="AJ6" s="256" t="s">
        <v>4</v>
      </c>
      <c r="AK6" s="256" t="s">
        <v>5</v>
      </c>
      <c r="AL6" s="256" t="s">
        <v>6</v>
      </c>
      <c r="AM6" s="257" t="s">
        <v>7</v>
      </c>
    </row>
    <row r="7" spans="3:39">
      <c r="C7" s="314" t="s">
        <v>128</v>
      </c>
      <c r="D7" s="327" t="s">
        <v>2</v>
      </c>
      <c r="E7" s="135">
        <v>5</v>
      </c>
      <c r="F7" s="264">
        <v>3</v>
      </c>
      <c r="G7" s="264">
        <v>3</v>
      </c>
      <c r="H7" s="264">
        <v>3</v>
      </c>
      <c r="I7" s="264">
        <v>3</v>
      </c>
      <c r="J7" s="264">
        <v>3</v>
      </c>
      <c r="K7" s="253"/>
      <c r="L7" s="264">
        <v>3</v>
      </c>
      <c r="M7" s="262">
        <v>4</v>
      </c>
      <c r="N7" s="264">
        <v>3</v>
      </c>
      <c r="O7" s="262">
        <v>4</v>
      </c>
      <c r="P7" s="262">
        <v>4</v>
      </c>
      <c r="Q7" s="262">
        <v>4</v>
      </c>
      <c r="R7" s="253" t="s">
        <v>2</v>
      </c>
      <c r="S7" s="253" t="s">
        <v>2</v>
      </c>
      <c r="T7" s="265">
        <v>2</v>
      </c>
      <c r="U7" s="265">
        <v>2</v>
      </c>
      <c r="V7" s="312" t="s">
        <v>129</v>
      </c>
      <c r="W7" s="312" t="s">
        <v>129</v>
      </c>
      <c r="X7" s="253" t="s">
        <v>2</v>
      </c>
      <c r="Y7" s="253" t="s">
        <v>2</v>
      </c>
      <c r="Z7" s="253" t="s">
        <v>2</v>
      </c>
      <c r="AA7" s="261">
        <v>5</v>
      </c>
      <c r="AB7" s="261">
        <v>5</v>
      </c>
      <c r="AC7" s="261">
        <v>5</v>
      </c>
      <c r="AD7" s="261">
        <v>5</v>
      </c>
      <c r="AE7" s="261">
        <v>5</v>
      </c>
      <c r="AF7" s="266">
        <v>6</v>
      </c>
      <c r="AG7" s="263">
        <v>1</v>
      </c>
      <c r="AH7" s="263">
        <v>1</v>
      </c>
      <c r="AI7" s="263">
        <v>1</v>
      </c>
      <c r="AJ7" s="263">
        <v>1</v>
      </c>
      <c r="AK7" s="263">
        <v>1</v>
      </c>
      <c r="AL7" s="263">
        <v>1</v>
      </c>
      <c r="AM7" s="253" t="s">
        <v>2</v>
      </c>
    </row>
    <row r="8" spans="3:39">
      <c r="C8" s="314" t="s">
        <v>92</v>
      </c>
      <c r="D8" s="328">
        <v>6</v>
      </c>
      <c r="E8" s="266">
        <v>6</v>
      </c>
      <c r="F8" s="262">
        <v>4</v>
      </c>
      <c r="G8" s="262">
        <v>4</v>
      </c>
      <c r="H8" s="262">
        <v>4</v>
      </c>
      <c r="I8" s="262">
        <v>4</v>
      </c>
      <c r="J8" s="262">
        <v>4</v>
      </c>
      <c r="K8" s="253"/>
      <c r="L8" s="262">
        <v>4</v>
      </c>
      <c r="M8" s="264">
        <v>3</v>
      </c>
      <c r="N8" s="262">
        <v>4</v>
      </c>
      <c r="O8" s="264">
        <v>3</v>
      </c>
      <c r="P8" s="264">
        <v>3</v>
      </c>
      <c r="Q8" s="264">
        <v>3</v>
      </c>
      <c r="R8" s="253" t="s">
        <v>2</v>
      </c>
      <c r="S8" s="253" t="s">
        <v>2</v>
      </c>
      <c r="T8" s="261">
        <v>5</v>
      </c>
      <c r="U8" s="261">
        <v>5</v>
      </c>
      <c r="V8" s="261">
        <v>5</v>
      </c>
      <c r="W8" s="261">
        <v>5</v>
      </c>
      <c r="X8" s="261">
        <v>5</v>
      </c>
      <c r="Y8" s="253" t="s">
        <v>2</v>
      </c>
      <c r="Z8" s="253" t="s">
        <v>2</v>
      </c>
      <c r="AA8" s="263">
        <v>1</v>
      </c>
      <c r="AB8" s="263">
        <v>1</v>
      </c>
      <c r="AC8" s="263">
        <v>1</v>
      </c>
      <c r="AD8" s="263">
        <v>1</v>
      </c>
      <c r="AE8" s="263">
        <v>1</v>
      </c>
      <c r="AF8" s="253" t="s">
        <v>2</v>
      </c>
      <c r="AG8" s="313" t="s">
        <v>157</v>
      </c>
      <c r="AH8" s="262">
        <v>4</v>
      </c>
      <c r="AI8" s="262">
        <v>4</v>
      </c>
      <c r="AJ8" s="262">
        <v>4</v>
      </c>
      <c r="AK8" s="262">
        <v>4</v>
      </c>
      <c r="AL8" s="262">
        <v>4</v>
      </c>
      <c r="AM8" s="269">
        <v>7</v>
      </c>
    </row>
    <row r="9" spans="3:39">
      <c r="C9" s="314" t="s">
        <v>64</v>
      </c>
      <c r="D9" s="534" t="s">
        <v>158</v>
      </c>
      <c r="E9" s="534"/>
      <c r="F9" s="534"/>
      <c r="G9" s="261">
        <v>7</v>
      </c>
      <c r="H9" s="261">
        <v>7</v>
      </c>
      <c r="I9" s="261">
        <v>7</v>
      </c>
      <c r="J9" s="261">
        <v>7</v>
      </c>
      <c r="K9" s="266">
        <v>6</v>
      </c>
      <c r="L9" s="265">
        <v>2</v>
      </c>
      <c r="M9" s="265">
        <v>2</v>
      </c>
      <c r="N9" s="265">
        <v>2</v>
      </c>
      <c r="O9" s="265">
        <v>2</v>
      </c>
      <c r="P9" s="265">
        <v>2</v>
      </c>
      <c r="Q9" s="265">
        <v>2</v>
      </c>
      <c r="R9" s="253" t="s">
        <v>2</v>
      </c>
      <c r="S9" s="253" t="s">
        <v>2</v>
      </c>
      <c r="T9" s="264">
        <v>3</v>
      </c>
      <c r="U9" s="264">
        <v>3</v>
      </c>
      <c r="V9" s="264">
        <v>3</v>
      </c>
      <c r="W9" s="264">
        <v>3</v>
      </c>
      <c r="X9" s="264">
        <v>3</v>
      </c>
      <c r="Y9" s="269">
        <v>7</v>
      </c>
      <c r="Z9" s="269">
        <v>7</v>
      </c>
      <c r="AA9" s="262">
        <v>4</v>
      </c>
      <c r="AB9" s="264">
        <v>3</v>
      </c>
      <c r="AC9" s="262">
        <v>4</v>
      </c>
      <c r="AD9" s="262">
        <v>4</v>
      </c>
      <c r="AE9" s="262">
        <v>4</v>
      </c>
      <c r="AF9" s="253" t="s">
        <v>2</v>
      </c>
      <c r="AG9" s="264">
        <v>3</v>
      </c>
      <c r="AH9" s="264">
        <v>3</v>
      </c>
      <c r="AI9" s="262">
        <v>4</v>
      </c>
      <c r="AJ9" s="264">
        <v>3</v>
      </c>
      <c r="AK9" s="264">
        <v>3</v>
      </c>
      <c r="AL9" s="264">
        <v>3</v>
      </c>
      <c r="AM9" s="253" t="s">
        <v>2</v>
      </c>
    </row>
    <row r="10" spans="3:39">
      <c r="C10" s="314" t="s">
        <v>130</v>
      </c>
      <c r="D10" s="329">
        <v>5</v>
      </c>
      <c r="E10" s="253" t="s">
        <v>2</v>
      </c>
      <c r="F10" s="264">
        <v>3</v>
      </c>
      <c r="G10" s="262">
        <v>4</v>
      </c>
      <c r="H10" s="262">
        <v>4</v>
      </c>
      <c r="I10" s="264">
        <v>3</v>
      </c>
      <c r="J10" s="262">
        <v>4</v>
      </c>
      <c r="K10" s="269">
        <v>7</v>
      </c>
      <c r="L10" s="264">
        <v>3</v>
      </c>
      <c r="M10" s="264">
        <v>3</v>
      </c>
      <c r="N10" s="264">
        <v>3</v>
      </c>
      <c r="O10" s="264">
        <v>3</v>
      </c>
      <c r="P10" s="264">
        <v>3</v>
      </c>
      <c r="Q10" s="264">
        <v>3</v>
      </c>
      <c r="R10" s="253" t="s">
        <v>2</v>
      </c>
      <c r="S10" s="253" t="s">
        <v>2</v>
      </c>
      <c r="T10" s="262">
        <v>4</v>
      </c>
      <c r="U10" s="264">
        <v>3</v>
      </c>
      <c r="V10" s="262">
        <v>4</v>
      </c>
      <c r="W10" s="262">
        <v>4</v>
      </c>
      <c r="X10" s="262">
        <v>4</v>
      </c>
      <c r="Y10" s="266">
        <v>6</v>
      </c>
      <c r="Z10" s="266">
        <v>6</v>
      </c>
      <c r="AA10" s="264">
        <v>3</v>
      </c>
      <c r="AB10" s="265">
        <v>2</v>
      </c>
      <c r="AC10" s="265">
        <v>2</v>
      </c>
      <c r="AD10" s="265">
        <v>2</v>
      </c>
      <c r="AE10" s="253" t="s">
        <v>2</v>
      </c>
      <c r="AF10" s="253" t="s">
        <v>2</v>
      </c>
      <c r="AG10" s="264">
        <v>3</v>
      </c>
      <c r="AH10" s="264">
        <v>3</v>
      </c>
      <c r="AI10" s="264">
        <v>3</v>
      </c>
      <c r="AJ10" s="264">
        <v>3</v>
      </c>
      <c r="AK10" s="264">
        <v>3</v>
      </c>
      <c r="AL10" s="264">
        <v>3</v>
      </c>
      <c r="AM10" s="253" t="s">
        <v>2</v>
      </c>
    </row>
    <row r="11" spans="3:39">
      <c r="C11" s="314" t="s">
        <v>131</v>
      </c>
      <c r="D11" s="327" t="s">
        <v>2</v>
      </c>
      <c r="E11" s="253" t="s">
        <v>2</v>
      </c>
      <c r="F11" s="262">
        <v>4</v>
      </c>
      <c r="G11" s="264">
        <v>3</v>
      </c>
      <c r="H11" s="264">
        <v>3</v>
      </c>
      <c r="I11" s="262">
        <v>4</v>
      </c>
      <c r="J11" s="264">
        <v>3</v>
      </c>
      <c r="K11" s="253"/>
      <c r="L11" s="262">
        <v>4</v>
      </c>
      <c r="M11" s="262">
        <v>4</v>
      </c>
      <c r="N11" s="262">
        <v>4</v>
      </c>
      <c r="O11" s="262">
        <v>4</v>
      </c>
      <c r="P11" s="262">
        <v>4</v>
      </c>
      <c r="Q11" s="262">
        <v>4</v>
      </c>
      <c r="R11" s="266">
        <v>6</v>
      </c>
      <c r="S11" s="266">
        <v>6</v>
      </c>
      <c r="T11" s="263">
        <v>1</v>
      </c>
      <c r="U11" s="263">
        <v>1</v>
      </c>
      <c r="V11" s="263">
        <v>1</v>
      </c>
      <c r="W11" s="263">
        <v>1</v>
      </c>
      <c r="X11" s="263">
        <v>1</v>
      </c>
      <c r="Y11" s="253" t="s">
        <v>2</v>
      </c>
      <c r="Z11" s="253" t="s">
        <v>2</v>
      </c>
      <c r="AA11" s="262">
        <v>4</v>
      </c>
      <c r="AB11" s="262">
        <v>4</v>
      </c>
      <c r="AC11" s="264">
        <v>3</v>
      </c>
      <c r="AD11" s="264">
        <v>3</v>
      </c>
      <c r="AE11" s="264">
        <v>3</v>
      </c>
      <c r="AF11" s="253" t="s">
        <v>2</v>
      </c>
      <c r="AG11" s="262">
        <v>4</v>
      </c>
      <c r="AH11" s="262">
        <v>4</v>
      </c>
      <c r="AI11" s="264">
        <v>3</v>
      </c>
      <c r="AJ11" s="262">
        <v>4</v>
      </c>
      <c r="AK11" s="262">
        <v>4</v>
      </c>
      <c r="AL11" s="262">
        <v>4</v>
      </c>
      <c r="AM11" s="266">
        <v>6</v>
      </c>
    </row>
    <row r="12" spans="3:39">
      <c r="C12" s="314" t="s">
        <v>71</v>
      </c>
      <c r="D12" s="327" t="s">
        <v>2</v>
      </c>
      <c r="E12" s="253" t="s">
        <v>2</v>
      </c>
      <c r="F12" s="265">
        <v>2</v>
      </c>
      <c r="G12" s="265">
        <v>2</v>
      </c>
      <c r="H12" s="265">
        <v>2</v>
      </c>
      <c r="I12" s="265">
        <v>2</v>
      </c>
      <c r="J12" s="265">
        <v>2</v>
      </c>
      <c r="K12" s="253"/>
      <c r="L12" s="263">
        <v>1</v>
      </c>
      <c r="M12" s="263">
        <v>1</v>
      </c>
      <c r="N12" s="263">
        <v>1</v>
      </c>
      <c r="O12" s="263">
        <v>1</v>
      </c>
      <c r="P12" s="263">
        <v>1</v>
      </c>
      <c r="Q12" s="263">
        <v>1</v>
      </c>
      <c r="R12" s="253" t="s">
        <v>2</v>
      </c>
      <c r="S12" s="253" t="s">
        <v>2</v>
      </c>
      <c r="T12" s="262">
        <v>4</v>
      </c>
      <c r="U12" s="262">
        <v>4</v>
      </c>
      <c r="V12" s="262">
        <v>4</v>
      </c>
      <c r="W12" s="264">
        <v>3</v>
      </c>
      <c r="X12" s="262">
        <v>4</v>
      </c>
      <c r="Y12" s="253" t="s">
        <v>2</v>
      </c>
      <c r="Z12" s="253" t="s">
        <v>2</v>
      </c>
      <c r="AA12" s="264">
        <v>3</v>
      </c>
      <c r="AB12" s="264">
        <v>3</v>
      </c>
      <c r="AC12" s="264">
        <v>3</v>
      </c>
      <c r="AD12" s="264">
        <v>3</v>
      </c>
      <c r="AE12" s="264">
        <v>3</v>
      </c>
      <c r="AF12" s="269">
        <v>7</v>
      </c>
      <c r="AG12" s="262">
        <v>4</v>
      </c>
      <c r="AH12" s="261">
        <v>5</v>
      </c>
      <c r="AI12" s="261">
        <v>5</v>
      </c>
      <c r="AJ12" s="261">
        <v>5</v>
      </c>
      <c r="AK12" s="261">
        <v>5</v>
      </c>
      <c r="AL12" s="261">
        <v>5</v>
      </c>
      <c r="AM12" s="253" t="s">
        <v>2</v>
      </c>
    </row>
    <row r="13" spans="3:39">
      <c r="C13" s="314" t="s">
        <v>133</v>
      </c>
      <c r="D13" s="327" t="s">
        <v>2</v>
      </c>
      <c r="E13" s="253" t="s">
        <v>2</v>
      </c>
      <c r="F13" s="263">
        <v>1</v>
      </c>
      <c r="G13" s="263">
        <v>1</v>
      </c>
      <c r="H13" s="263">
        <v>1</v>
      </c>
      <c r="I13" s="263">
        <v>1</v>
      </c>
      <c r="J13" s="263">
        <v>1</v>
      </c>
      <c r="K13" s="253"/>
      <c r="L13" s="291" t="s">
        <v>157</v>
      </c>
      <c r="M13" s="261">
        <v>5</v>
      </c>
      <c r="N13" s="261">
        <v>5</v>
      </c>
      <c r="O13" s="261">
        <v>5</v>
      </c>
      <c r="P13" s="261">
        <v>5</v>
      </c>
      <c r="Q13" s="261">
        <v>5</v>
      </c>
      <c r="R13" s="269">
        <v>7</v>
      </c>
      <c r="S13" s="269">
        <v>7</v>
      </c>
      <c r="T13" s="264">
        <v>3</v>
      </c>
      <c r="U13" s="262">
        <v>4</v>
      </c>
      <c r="V13" s="264">
        <v>3</v>
      </c>
      <c r="W13" s="262">
        <v>4</v>
      </c>
      <c r="X13" s="264">
        <v>3</v>
      </c>
      <c r="Y13" s="253" t="s">
        <v>2</v>
      </c>
      <c r="Z13" s="253" t="s">
        <v>2</v>
      </c>
      <c r="AA13" s="293" t="s">
        <v>159</v>
      </c>
      <c r="AB13" s="262">
        <v>4</v>
      </c>
      <c r="AC13" s="262">
        <v>4</v>
      </c>
      <c r="AD13" s="262">
        <v>4</v>
      </c>
      <c r="AE13" s="262">
        <v>4</v>
      </c>
      <c r="AF13" s="253" t="s">
        <v>2</v>
      </c>
      <c r="AG13" s="265">
        <v>2</v>
      </c>
      <c r="AH13" s="265">
        <v>2</v>
      </c>
      <c r="AI13" s="265">
        <v>2</v>
      </c>
      <c r="AJ13" s="265">
        <v>2</v>
      </c>
      <c r="AK13" s="265">
        <v>2</v>
      </c>
      <c r="AL13" s="253" t="s">
        <v>2</v>
      </c>
      <c r="AM13" s="253" t="s">
        <v>2</v>
      </c>
    </row>
    <row r="14" spans="3:39">
      <c r="C14" s="314" t="s">
        <v>14</v>
      </c>
      <c r="D14" s="330" t="s">
        <v>2</v>
      </c>
      <c r="E14" s="294" t="s">
        <v>2</v>
      </c>
      <c r="F14" s="295">
        <v>2</v>
      </c>
      <c r="G14" s="295">
        <v>2</v>
      </c>
      <c r="H14" s="295">
        <v>2</v>
      </c>
      <c r="I14" s="295">
        <v>2</v>
      </c>
      <c r="J14" s="295">
        <v>2</v>
      </c>
      <c r="K14" s="294"/>
      <c r="L14" s="295">
        <v>2</v>
      </c>
      <c r="M14" s="295">
        <v>2</v>
      </c>
      <c r="N14" s="295">
        <v>2</v>
      </c>
      <c r="O14" s="295">
        <v>2</v>
      </c>
      <c r="P14" s="295">
        <v>2</v>
      </c>
      <c r="Q14" s="295">
        <v>2</v>
      </c>
      <c r="R14" s="294" t="s">
        <v>2</v>
      </c>
      <c r="S14" s="294" t="s">
        <v>2</v>
      </c>
      <c r="T14" s="309">
        <v>1</v>
      </c>
      <c r="U14" s="309">
        <v>1</v>
      </c>
      <c r="V14" s="309">
        <v>1</v>
      </c>
      <c r="W14" s="309">
        <v>1</v>
      </c>
      <c r="X14" s="309">
        <v>1</v>
      </c>
      <c r="Y14" s="294" t="s">
        <v>2</v>
      </c>
      <c r="Z14" s="294" t="s">
        <v>2</v>
      </c>
      <c r="AA14" s="263">
        <v>1</v>
      </c>
      <c r="AB14" s="263">
        <v>1</v>
      </c>
      <c r="AC14" s="263">
        <v>1</v>
      </c>
      <c r="AD14" s="263">
        <v>1</v>
      </c>
      <c r="AE14" s="253" t="s">
        <v>2</v>
      </c>
      <c r="AF14" s="253" t="s">
        <v>2</v>
      </c>
      <c r="AG14" s="263">
        <v>1</v>
      </c>
      <c r="AH14" s="265">
        <v>2</v>
      </c>
      <c r="AI14" s="265">
        <v>2</v>
      </c>
      <c r="AJ14" s="265">
        <v>2</v>
      </c>
      <c r="AK14" s="265">
        <v>2</v>
      </c>
      <c r="AL14" s="265">
        <v>2</v>
      </c>
      <c r="AM14" s="253" t="s">
        <v>15</v>
      </c>
    </row>
    <row r="15" spans="3:39">
      <c r="C15" s="245" t="s">
        <v>17</v>
      </c>
      <c r="D15" s="535" t="s">
        <v>160</v>
      </c>
      <c r="E15" s="535"/>
      <c r="F15" s="535"/>
      <c r="G15" s="535"/>
      <c r="H15" s="535"/>
      <c r="I15" s="535"/>
      <c r="J15" s="535"/>
      <c r="K15" s="535"/>
      <c r="L15" s="535"/>
      <c r="M15" s="535"/>
      <c r="N15" s="535"/>
      <c r="O15" s="535"/>
      <c r="P15" s="535"/>
      <c r="Q15" s="535"/>
      <c r="R15" s="535"/>
      <c r="S15" s="535"/>
      <c r="T15" s="535"/>
      <c r="U15" s="535"/>
      <c r="V15" s="535"/>
      <c r="W15" s="535"/>
      <c r="X15" s="535"/>
      <c r="Y15" s="535"/>
      <c r="Z15" s="536"/>
      <c r="AA15" s="265">
        <v>2</v>
      </c>
      <c r="AB15" s="265">
        <v>2</v>
      </c>
      <c r="AC15" s="265">
        <v>2</v>
      </c>
      <c r="AD15" s="310">
        <v>2</v>
      </c>
      <c r="AE15" s="310">
        <v>2</v>
      </c>
      <c r="AF15" s="311" t="s">
        <v>2</v>
      </c>
      <c r="AG15" s="310">
        <v>2</v>
      </c>
      <c r="AH15" s="263">
        <v>1</v>
      </c>
      <c r="AI15" s="263">
        <v>1</v>
      </c>
      <c r="AJ15" s="263">
        <v>1</v>
      </c>
      <c r="AK15" s="263">
        <v>1</v>
      </c>
      <c r="AL15" s="311" t="s">
        <v>2</v>
      </c>
      <c r="AM15" s="311" t="s">
        <v>2</v>
      </c>
    </row>
    <row r="16" spans="3:39">
      <c r="C16" s="314" t="s">
        <v>16</v>
      </c>
      <c r="AA16" s="265">
        <v>2</v>
      </c>
      <c r="AB16" s="265">
        <v>2</v>
      </c>
      <c r="AC16" s="265">
        <v>2</v>
      </c>
      <c r="AD16" s="310">
        <v>2</v>
      </c>
      <c r="AE16" s="253" t="s">
        <v>15</v>
      </c>
      <c r="AF16" s="253" t="s">
        <v>15</v>
      </c>
      <c r="AG16" s="265">
        <v>2</v>
      </c>
      <c r="AH16" s="265">
        <v>2</v>
      </c>
      <c r="AI16" s="265">
        <v>2</v>
      </c>
      <c r="AJ16" s="310">
        <v>2</v>
      </c>
      <c r="AK16" s="310">
        <v>2</v>
      </c>
      <c r="AL16" s="253" t="s">
        <v>15</v>
      </c>
      <c r="AM16" s="253" t="s">
        <v>15</v>
      </c>
    </row>
  </sheetData>
  <sheetProtection algorithmName="SHA-512" hashValue="eJQ0PgwG5F54mjunxfWxVs8XCcIeRWTu/EO70Ypha2UO4kvE76WHRwyllDBGRCt6uwVKhGN0JECQNy/X37WZ8w==" saltValue="+9Q2ESEhBILbZysVfKCldQ==" spinCount="100000" sheet="1" objects="1" scenarios="1"/>
  <mergeCells count="3">
    <mergeCell ref="D9:F9"/>
    <mergeCell ref="C2:AG2"/>
    <mergeCell ref="D15:Z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A96D-7273-4E81-A0BF-7259B456F754}">
  <sheetPr>
    <tabColor rgb="FF54662B"/>
  </sheetPr>
  <dimension ref="B4:AI15"/>
  <sheetViews>
    <sheetView showGridLines="0" workbookViewId="0">
      <selection activeCell="B11" sqref="B11:AG11"/>
    </sheetView>
  </sheetViews>
  <sheetFormatPr defaultRowHeight="15"/>
  <cols>
    <col min="2" max="2" width="56.42578125" customWidth="1"/>
    <col min="3" max="35" width="3.42578125" customWidth="1"/>
  </cols>
  <sheetData>
    <row r="4" spans="2:35">
      <c r="B4" s="251"/>
      <c r="C4" s="253">
        <v>30</v>
      </c>
      <c r="D4" s="253">
        <v>31</v>
      </c>
      <c r="E4" s="253">
        <v>1</v>
      </c>
      <c r="F4" s="292">
        <v>2</v>
      </c>
      <c r="G4" s="253">
        <v>3</v>
      </c>
      <c r="H4" s="253">
        <v>4</v>
      </c>
      <c r="I4" s="253">
        <v>5</v>
      </c>
      <c r="J4" s="253">
        <v>6</v>
      </c>
      <c r="K4" s="292">
        <v>7</v>
      </c>
      <c r="L4" s="253">
        <v>8</v>
      </c>
      <c r="M4" s="253">
        <v>9</v>
      </c>
      <c r="N4" s="253">
        <v>10</v>
      </c>
      <c r="O4" s="253">
        <v>11</v>
      </c>
      <c r="P4" s="272">
        <v>12</v>
      </c>
      <c r="Q4" s="384">
        <v>13</v>
      </c>
      <c r="R4" s="385">
        <v>14</v>
      </c>
      <c r="S4" s="385">
        <v>15</v>
      </c>
      <c r="T4" s="385">
        <v>16</v>
      </c>
      <c r="U4" s="385">
        <v>17</v>
      </c>
      <c r="V4" s="385">
        <v>18</v>
      </c>
      <c r="W4" s="385">
        <v>19</v>
      </c>
      <c r="X4" s="385">
        <v>20</v>
      </c>
      <c r="Y4" s="385">
        <v>21</v>
      </c>
      <c r="Z4" s="385">
        <v>22</v>
      </c>
      <c r="AA4" s="385">
        <v>23</v>
      </c>
      <c r="AB4" s="385">
        <v>24</v>
      </c>
      <c r="AC4" s="385">
        <v>25</v>
      </c>
      <c r="AD4" s="385">
        <v>26</v>
      </c>
      <c r="AE4" s="385">
        <v>27</v>
      </c>
      <c r="AF4" s="385">
        <v>28</v>
      </c>
      <c r="AG4" s="385">
        <v>29</v>
      </c>
      <c r="AH4" s="385">
        <v>30</v>
      </c>
      <c r="AI4" s="386">
        <v>31</v>
      </c>
    </row>
    <row r="5" spans="2:35">
      <c r="B5" s="320" t="s">
        <v>1</v>
      </c>
      <c r="C5" s="324" t="s">
        <v>4</v>
      </c>
      <c r="D5" s="256" t="s">
        <v>5</v>
      </c>
      <c r="E5" s="256" t="s">
        <v>6</v>
      </c>
      <c r="F5" s="257" t="s">
        <v>7</v>
      </c>
      <c r="G5" s="273" t="s">
        <v>2</v>
      </c>
      <c r="H5" s="256" t="s">
        <v>3</v>
      </c>
      <c r="I5" s="256" t="s">
        <v>3</v>
      </c>
      <c r="J5" s="256" t="s">
        <v>4</v>
      </c>
      <c r="K5" s="257" t="s">
        <v>5</v>
      </c>
      <c r="L5" s="256" t="s">
        <v>6</v>
      </c>
      <c r="M5" s="258" t="s">
        <v>7</v>
      </c>
      <c r="N5" s="273" t="s">
        <v>2</v>
      </c>
      <c r="O5" s="256" t="s">
        <v>3</v>
      </c>
      <c r="P5" s="362" t="s">
        <v>3</v>
      </c>
      <c r="Q5" s="368" t="s">
        <v>4</v>
      </c>
      <c r="R5" s="377" t="s">
        <v>5</v>
      </c>
      <c r="S5" s="252" t="s">
        <v>6</v>
      </c>
      <c r="T5" s="355" t="s">
        <v>7</v>
      </c>
      <c r="U5" s="355" t="s">
        <v>2</v>
      </c>
      <c r="V5" s="252" t="s">
        <v>3</v>
      </c>
      <c r="W5" s="252" t="s">
        <v>3</v>
      </c>
      <c r="X5" s="252" t="s">
        <v>4</v>
      </c>
      <c r="Y5" s="252" t="s">
        <v>5</v>
      </c>
      <c r="Z5" s="252" t="s">
        <v>6</v>
      </c>
      <c r="AA5" s="355" t="s">
        <v>7</v>
      </c>
      <c r="AB5" s="356" t="s">
        <v>2</v>
      </c>
      <c r="AC5" s="252" t="s">
        <v>3</v>
      </c>
      <c r="AD5" s="252" t="s">
        <v>3</v>
      </c>
      <c r="AE5" s="252" t="s">
        <v>4</v>
      </c>
      <c r="AF5" s="252" t="s">
        <v>5</v>
      </c>
      <c r="AG5" s="252" t="s">
        <v>6</v>
      </c>
      <c r="AH5" s="355" t="s">
        <v>7</v>
      </c>
      <c r="AI5" s="387" t="s">
        <v>2</v>
      </c>
    </row>
    <row r="6" spans="2:35">
      <c r="B6" s="325" t="s">
        <v>128</v>
      </c>
      <c r="C6" s="315">
        <v>1</v>
      </c>
      <c r="D6" s="263">
        <v>1</v>
      </c>
      <c r="E6" s="263">
        <v>1</v>
      </c>
      <c r="F6" s="253" t="s">
        <v>2</v>
      </c>
      <c r="G6" s="264">
        <v>3</v>
      </c>
      <c r="H6" s="264">
        <v>3</v>
      </c>
      <c r="I6" s="264">
        <v>3</v>
      </c>
      <c r="J6" s="264">
        <v>3</v>
      </c>
      <c r="K6" s="266">
        <v>6</v>
      </c>
      <c r="L6" s="264">
        <v>3</v>
      </c>
      <c r="M6" s="266">
        <v>6</v>
      </c>
      <c r="N6" s="262">
        <v>4</v>
      </c>
      <c r="O6" s="262">
        <v>4</v>
      </c>
      <c r="P6" s="363">
        <v>4</v>
      </c>
      <c r="Q6" s="369">
        <v>4</v>
      </c>
      <c r="R6" s="357">
        <v>4</v>
      </c>
      <c r="S6" s="264">
        <v>3</v>
      </c>
      <c r="T6" s="379" t="s">
        <v>2</v>
      </c>
      <c r="U6" s="379" t="s">
        <v>2</v>
      </c>
      <c r="V6" s="380">
        <v>3</v>
      </c>
      <c r="W6" s="380">
        <v>3</v>
      </c>
      <c r="X6" s="380">
        <v>3</v>
      </c>
      <c r="Y6" s="380">
        <v>3</v>
      </c>
      <c r="Z6" s="380">
        <v>3</v>
      </c>
      <c r="AA6" s="208" t="s">
        <v>2</v>
      </c>
      <c r="AB6" s="381">
        <v>5</v>
      </c>
      <c r="AC6" s="381">
        <v>5</v>
      </c>
      <c r="AD6" s="381">
        <v>5</v>
      </c>
      <c r="AE6" s="381">
        <v>5</v>
      </c>
      <c r="AF6" s="381">
        <v>5</v>
      </c>
      <c r="AG6" s="381">
        <v>5</v>
      </c>
      <c r="AH6" s="382">
        <v>7</v>
      </c>
      <c r="AI6" s="383"/>
    </row>
    <row r="7" spans="2:35">
      <c r="B7" s="321" t="s">
        <v>92</v>
      </c>
      <c r="C7" s="316">
        <v>4</v>
      </c>
      <c r="D7" s="262">
        <v>4</v>
      </c>
      <c r="E7" s="262">
        <v>4</v>
      </c>
      <c r="F7" s="269">
        <v>7</v>
      </c>
      <c r="G7" s="264">
        <v>3</v>
      </c>
      <c r="H7" s="261">
        <v>5</v>
      </c>
      <c r="I7" s="264">
        <v>3</v>
      </c>
      <c r="J7" s="264">
        <v>3</v>
      </c>
      <c r="K7" s="271" t="s">
        <v>2</v>
      </c>
      <c r="L7" s="264">
        <v>3</v>
      </c>
      <c r="M7" s="271" t="s">
        <v>2</v>
      </c>
      <c r="N7" s="295">
        <v>2</v>
      </c>
      <c r="O7" s="295">
        <v>2</v>
      </c>
      <c r="P7" s="364">
        <v>2</v>
      </c>
      <c r="Q7" s="371">
        <v>3</v>
      </c>
      <c r="R7" s="264">
        <v>3</v>
      </c>
      <c r="S7" s="378">
        <v>4</v>
      </c>
      <c r="T7" s="253" t="s">
        <v>2</v>
      </c>
      <c r="U7" s="253" t="s">
        <v>2</v>
      </c>
      <c r="V7" s="357">
        <v>4</v>
      </c>
      <c r="W7" s="357">
        <v>4</v>
      </c>
      <c r="X7" s="357">
        <v>4</v>
      </c>
      <c r="Y7" s="357">
        <v>4</v>
      </c>
      <c r="Z7" s="357">
        <v>4</v>
      </c>
      <c r="AA7" s="360">
        <v>6</v>
      </c>
      <c r="AB7" s="264">
        <v>3</v>
      </c>
      <c r="AC7" s="264">
        <v>3</v>
      </c>
      <c r="AD7" s="357">
        <v>4</v>
      </c>
      <c r="AE7" s="264">
        <v>3</v>
      </c>
      <c r="AF7" s="264">
        <v>3</v>
      </c>
      <c r="AG7" s="264">
        <v>3</v>
      </c>
      <c r="AH7" s="13" t="s">
        <v>2</v>
      </c>
      <c r="AI7" s="370"/>
    </row>
    <row r="8" spans="2:35">
      <c r="B8" s="321" t="s">
        <v>64</v>
      </c>
      <c r="C8" s="317">
        <v>3</v>
      </c>
      <c r="D8" s="264">
        <v>3</v>
      </c>
      <c r="E8" s="264">
        <v>3</v>
      </c>
      <c r="F8" s="253" t="s">
        <v>2</v>
      </c>
      <c r="G8" s="262">
        <v>4</v>
      </c>
      <c r="H8" s="263">
        <v>1</v>
      </c>
      <c r="I8" s="263">
        <v>1</v>
      </c>
      <c r="J8" s="263">
        <v>1</v>
      </c>
      <c r="K8" s="271" t="s">
        <v>2</v>
      </c>
      <c r="L8" s="263">
        <v>1</v>
      </c>
      <c r="M8" s="271" t="s">
        <v>2</v>
      </c>
      <c r="N8" s="262">
        <v>4</v>
      </c>
      <c r="O8" s="262">
        <v>4</v>
      </c>
      <c r="P8" s="363">
        <v>4</v>
      </c>
      <c r="Q8" s="369">
        <v>4</v>
      </c>
      <c r="R8" s="357">
        <v>4</v>
      </c>
      <c r="S8" s="357">
        <v>4</v>
      </c>
      <c r="T8" s="253" t="s">
        <v>2</v>
      </c>
      <c r="U8" s="253" t="s">
        <v>2</v>
      </c>
      <c r="V8" s="264">
        <v>3</v>
      </c>
      <c r="W8" s="264">
        <v>3</v>
      </c>
      <c r="X8" s="264">
        <v>3</v>
      </c>
      <c r="Y8" s="264">
        <v>3</v>
      </c>
      <c r="Z8" s="264">
        <v>3</v>
      </c>
      <c r="AA8" s="13" t="s">
        <v>2</v>
      </c>
      <c r="AB8" s="357">
        <v>4</v>
      </c>
      <c r="AC8" s="357">
        <v>4</v>
      </c>
      <c r="AD8" s="357">
        <v>4</v>
      </c>
      <c r="AE8" s="357">
        <v>4</v>
      </c>
      <c r="AF8" s="357">
        <v>4</v>
      </c>
      <c r="AG8" s="357">
        <v>4</v>
      </c>
      <c r="AH8" s="360">
        <v>6</v>
      </c>
      <c r="AI8" s="370"/>
    </row>
    <row r="9" spans="2:35">
      <c r="B9" s="321" t="s">
        <v>130</v>
      </c>
      <c r="C9" s="317">
        <v>3</v>
      </c>
      <c r="D9" s="264">
        <v>3</v>
      </c>
      <c r="E9" s="264">
        <v>3</v>
      </c>
      <c r="F9" s="253" t="s">
        <v>2</v>
      </c>
      <c r="G9" s="261">
        <v>5</v>
      </c>
      <c r="H9" s="264">
        <v>3</v>
      </c>
      <c r="I9" s="261">
        <v>5</v>
      </c>
      <c r="J9" s="261">
        <v>5</v>
      </c>
      <c r="K9" s="271" t="s">
        <v>2</v>
      </c>
      <c r="L9" s="261">
        <v>5</v>
      </c>
      <c r="M9" s="271" t="s">
        <v>2</v>
      </c>
      <c r="N9" s="263">
        <v>1</v>
      </c>
      <c r="O9" s="263">
        <v>1</v>
      </c>
      <c r="P9" s="365">
        <v>1</v>
      </c>
      <c r="Q9" s="372">
        <v>1</v>
      </c>
      <c r="R9" s="263">
        <v>1</v>
      </c>
      <c r="S9" s="263">
        <v>1</v>
      </c>
      <c r="T9" s="360">
        <v>6</v>
      </c>
      <c r="U9" s="360">
        <v>6</v>
      </c>
      <c r="V9" s="357">
        <v>4</v>
      </c>
      <c r="W9" s="357">
        <v>4</v>
      </c>
      <c r="X9" s="357">
        <v>4</v>
      </c>
      <c r="Y9" s="358">
        <v>5</v>
      </c>
      <c r="Z9" s="357">
        <v>4</v>
      </c>
      <c r="AA9" s="13" t="s">
        <v>2</v>
      </c>
      <c r="AB9" s="264">
        <v>3</v>
      </c>
      <c r="AC9" s="264">
        <v>3</v>
      </c>
      <c r="AD9" s="264">
        <v>3</v>
      </c>
      <c r="AE9" s="264">
        <v>3</v>
      </c>
      <c r="AF9" s="264">
        <v>3</v>
      </c>
      <c r="AG9" s="264">
        <v>3</v>
      </c>
      <c r="AH9" s="13" t="s">
        <v>2</v>
      </c>
      <c r="AI9" s="370"/>
    </row>
    <row r="10" spans="2:35">
      <c r="B10" s="321" t="s">
        <v>131</v>
      </c>
      <c r="C10" s="316">
        <v>4</v>
      </c>
      <c r="D10" s="262">
        <v>4</v>
      </c>
      <c r="E10" s="262">
        <v>4</v>
      </c>
      <c r="F10" s="266">
        <v>6</v>
      </c>
      <c r="G10" s="265">
        <v>2</v>
      </c>
      <c r="H10" s="265">
        <v>2</v>
      </c>
      <c r="I10" s="265">
        <v>2</v>
      </c>
      <c r="J10" s="265">
        <v>2</v>
      </c>
      <c r="K10" s="271" t="s">
        <v>2</v>
      </c>
      <c r="L10" s="271" t="s">
        <v>2</v>
      </c>
      <c r="M10" s="271" t="s">
        <v>2</v>
      </c>
      <c r="N10" s="264">
        <v>3</v>
      </c>
      <c r="O10" s="264">
        <v>3</v>
      </c>
      <c r="P10" s="366">
        <v>3</v>
      </c>
      <c r="Q10" s="371">
        <v>3</v>
      </c>
      <c r="R10" s="264">
        <v>3</v>
      </c>
      <c r="S10" s="264">
        <v>3</v>
      </c>
      <c r="T10" s="253" t="s">
        <v>2</v>
      </c>
      <c r="U10" s="253" t="s">
        <v>2</v>
      </c>
      <c r="V10" s="358">
        <v>5</v>
      </c>
      <c r="W10" s="358">
        <v>5</v>
      </c>
      <c r="X10" s="358">
        <v>5</v>
      </c>
      <c r="Y10" s="357">
        <v>4</v>
      </c>
      <c r="Z10" s="358">
        <v>5</v>
      </c>
      <c r="AA10" s="359">
        <v>7</v>
      </c>
      <c r="AB10" s="357">
        <v>4</v>
      </c>
      <c r="AC10" s="357">
        <v>4</v>
      </c>
      <c r="AD10" s="264">
        <v>3</v>
      </c>
      <c r="AE10" s="357">
        <v>4</v>
      </c>
      <c r="AF10" s="357">
        <v>4</v>
      </c>
      <c r="AG10" s="357">
        <v>4</v>
      </c>
      <c r="AH10" s="13" t="s">
        <v>2</v>
      </c>
      <c r="AI10" s="370"/>
    </row>
    <row r="11" spans="2:35">
      <c r="B11" s="321" t="s">
        <v>71</v>
      </c>
      <c r="C11" s="318">
        <v>5</v>
      </c>
      <c r="D11" s="261">
        <v>5</v>
      </c>
      <c r="E11" s="261">
        <v>5</v>
      </c>
      <c r="F11" s="253" t="s">
        <v>2</v>
      </c>
      <c r="G11" s="263">
        <v>1</v>
      </c>
      <c r="H11" s="262">
        <v>4</v>
      </c>
      <c r="I11" s="262">
        <v>4</v>
      </c>
      <c r="J11" s="262">
        <v>4</v>
      </c>
      <c r="K11" s="271" t="s">
        <v>2</v>
      </c>
      <c r="L11" s="262">
        <v>4</v>
      </c>
      <c r="M11" s="271" t="s">
        <v>2</v>
      </c>
      <c r="N11" s="264">
        <v>3</v>
      </c>
      <c r="O11" s="264">
        <v>3</v>
      </c>
      <c r="P11" s="366">
        <v>3</v>
      </c>
      <c r="Q11" s="373">
        <v>2</v>
      </c>
      <c r="R11" s="361">
        <v>2</v>
      </c>
      <c r="S11" s="361">
        <v>2</v>
      </c>
      <c r="T11" s="359">
        <v>7</v>
      </c>
      <c r="U11" s="359">
        <v>7</v>
      </c>
      <c r="V11" s="361">
        <v>2</v>
      </c>
      <c r="W11" s="361">
        <v>2</v>
      </c>
      <c r="X11" s="361">
        <v>2</v>
      </c>
      <c r="Y11" s="361">
        <v>2</v>
      </c>
      <c r="Z11" s="361">
        <v>2</v>
      </c>
      <c r="AA11" s="13" t="s">
        <v>2</v>
      </c>
      <c r="AB11" s="361">
        <v>2</v>
      </c>
      <c r="AC11" s="361">
        <v>2</v>
      </c>
      <c r="AD11" s="361">
        <v>2</v>
      </c>
      <c r="AE11" s="361">
        <v>2</v>
      </c>
      <c r="AF11" s="361">
        <v>2</v>
      </c>
      <c r="AG11" s="361">
        <v>2</v>
      </c>
      <c r="AH11" s="13" t="s">
        <v>2</v>
      </c>
      <c r="AI11" s="370"/>
    </row>
    <row r="12" spans="2:35">
      <c r="B12" s="321" t="s">
        <v>133</v>
      </c>
      <c r="C12" s="319">
        <v>2</v>
      </c>
      <c r="D12" s="265">
        <v>2</v>
      </c>
      <c r="E12" s="253" t="s">
        <v>2</v>
      </c>
      <c r="F12" s="253" t="s">
        <v>2</v>
      </c>
      <c r="G12" s="262">
        <v>4</v>
      </c>
      <c r="H12" s="262">
        <v>4</v>
      </c>
      <c r="I12" s="262">
        <v>4</v>
      </c>
      <c r="J12" s="262">
        <v>4</v>
      </c>
      <c r="K12" s="269">
        <v>7</v>
      </c>
      <c r="L12" s="262">
        <v>4</v>
      </c>
      <c r="M12" s="269">
        <v>7</v>
      </c>
      <c r="N12" s="261">
        <v>5</v>
      </c>
      <c r="O12" s="261">
        <v>5</v>
      </c>
      <c r="P12" s="367">
        <v>5</v>
      </c>
      <c r="Q12" s="374">
        <v>5</v>
      </c>
      <c r="R12" s="537" t="s">
        <v>76</v>
      </c>
      <c r="S12" s="537"/>
      <c r="T12" s="537"/>
      <c r="U12" s="537"/>
      <c r="V12" s="537"/>
      <c r="W12" s="537"/>
      <c r="X12" s="537"/>
      <c r="Y12" s="537"/>
      <c r="Z12" s="537"/>
      <c r="AA12" s="537"/>
      <c r="AB12" s="537"/>
      <c r="AC12" s="537"/>
      <c r="AD12" s="537"/>
      <c r="AE12" s="537"/>
      <c r="AF12" s="537"/>
      <c r="AG12" s="537"/>
      <c r="AH12" s="537"/>
      <c r="AI12" s="538"/>
    </row>
    <row r="13" spans="2:35">
      <c r="B13" s="321" t="s">
        <v>14</v>
      </c>
      <c r="C13" s="319">
        <v>2</v>
      </c>
      <c r="D13" s="265">
        <v>2</v>
      </c>
      <c r="E13" s="253" t="s">
        <v>15</v>
      </c>
      <c r="F13" s="253" t="s">
        <v>15</v>
      </c>
      <c r="G13" s="295">
        <v>2</v>
      </c>
      <c r="H13" s="295">
        <v>2</v>
      </c>
      <c r="I13" s="295">
        <v>2</v>
      </c>
      <c r="J13" s="295">
        <v>2</v>
      </c>
      <c r="K13" s="271" t="s">
        <v>2</v>
      </c>
      <c r="L13" s="295">
        <v>2</v>
      </c>
      <c r="M13" s="253" t="s">
        <v>15</v>
      </c>
      <c r="N13" s="263">
        <v>1</v>
      </c>
      <c r="O13" s="263">
        <v>1</v>
      </c>
      <c r="P13" s="365">
        <v>1</v>
      </c>
      <c r="Q13" s="372">
        <v>1</v>
      </c>
      <c r="R13" s="263">
        <v>1</v>
      </c>
      <c r="S13" s="13" t="s">
        <v>2</v>
      </c>
      <c r="T13" s="13" t="s">
        <v>2</v>
      </c>
      <c r="U13" s="13" t="s">
        <v>2</v>
      </c>
      <c r="V13" s="361">
        <v>2</v>
      </c>
      <c r="W13" s="361">
        <v>2</v>
      </c>
      <c r="X13" s="361">
        <v>2</v>
      </c>
      <c r="Y13" s="361">
        <v>2</v>
      </c>
      <c r="Z13" s="361">
        <v>2</v>
      </c>
      <c r="AA13" s="253" t="s">
        <v>15</v>
      </c>
      <c r="AB13" s="253"/>
      <c r="AC13" s="253"/>
      <c r="AD13" s="253"/>
      <c r="AE13" s="253"/>
      <c r="AF13" s="253"/>
      <c r="AG13" s="253"/>
      <c r="AH13" s="253" t="s">
        <v>15</v>
      </c>
      <c r="AI13" s="375"/>
    </row>
    <row r="14" spans="2:35">
      <c r="B14" s="322" t="s">
        <v>17</v>
      </c>
      <c r="C14" s="263">
        <v>1</v>
      </c>
      <c r="D14" s="263">
        <v>1</v>
      </c>
      <c r="E14" s="311" t="s">
        <v>2</v>
      </c>
      <c r="F14" s="311" t="s">
        <v>2</v>
      </c>
      <c r="G14" s="313" t="s">
        <v>129</v>
      </c>
      <c r="H14" s="313" t="s">
        <v>129</v>
      </c>
      <c r="I14" s="313" t="s">
        <v>129</v>
      </c>
      <c r="J14" s="313" t="s">
        <v>129</v>
      </c>
      <c r="K14" s="271" t="s">
        <v>2</v>
      </c>
      <c r="L14" s="253" t="s">
        <v>15</v>
      </c>
      <c r="M14" s="253" t="s">
        <v>15</v>
      </c>
      <c r="N14" s="313" t="s">
        <v>129</v>
      </c>
      <c r="O14" s="313" t="s">
        <v>129</v>
      </c>
      <c r="P14" s="354" t="s">
        <v>129</v>
      </c>
      <c r="Q14" s="376" t="s">
        <v>129</v>
      </c>
      <c r="R14" s="313" t="s">
        <v>129</v>
      </c>
      <c r="S14" s="542"/>
      <c r="T14" s="542"/>
      <c r="U14" s="542"/>
      <c r="V14" s="542"/>
      <c r="W14" s="542"/>
      <c r="X14" s="542"/>
      <c r="Y14" s="542"/>
      <c r="Z14" s="542"/>
      <c r="AA14" s="542"/>
      <c r="AB14" s="542"/>
      <c r="AC14" s="542"/>
      <c r="AD14" s="542"/>
      <c r="AE14" s="542"/>
      <c r="AF14" s="542"/>
      <c r="AG14" s="542"/>
      <c r="AH14" s="542"/>
      <c r="AI14" s="543"/>
    </row>
    <row r="15" spans="2:35">
      <c r="B15" s="323" t="s">
        <v>16</v>
      </c>
      <c r="C15" s="319">
        <v>2</v>
      </c>
      <c r="D15" s="265">
        <v>2</v>
      </c>
      <c r="E15" s="253" t="s">
        <v>15</v>
      </c>
      <c r="F15" s="253" t="s">
        <v>15</v>
      </c>
      <c r="G15" s="263">
        <v>1</v>
      </c>
      <c r="H15" s="263">
        <v>1</v>
      </c>
      <c r="I15" s="263">
        <v>1</v>
      </c>
      <c r="J15" s="263">
        <v>1</v>
      </c>
      <c r="K15" s="271" t="s">
        <v>2</v>
      </c>
      <c r="L15" s="253" t="s">
        <v>2</v>
      </c>
      <c r="M15" s="253" t="s">
        <v>2</v>
      </c>
      <c r="N15" s="263">
        <v>1</v>
      </c>
      <c r="O15" s="263">
        <v>1</v>
      </c>
      <c r="P15" s="365">
        <v>1</v>
      </c>
      <c r="Q15" s="539" t="s">
        <v>76</v>
      </c>
      <c r="R15" s="540"/>
      <c r="S15" s="540"/>
      <c r="T15" s="540"/>
      <c r="U15" s="540"/>
      <c r="V15" s="540"/>
      <c r="W15" s="540"/>
      <c r="X15" s="540"/>
      <c r="Y15" s="540"/>
      <c r="Z15" s="540"/>
      <c r="AA15" s="540"/>
      <c r="AB15" s="540"/>
      <c r="AC15" s="540"/>
      <c r="AD15" s="540"/>
      <c r="AE15" s="540"/>
      <c r="AF15" s="540"/>
      <c r="AG15" s="540"/>
      <c r="AH15" s="540"/>
      <c r="AI15" s="541"/>
    </row>
  </sheetData>
  <mergeCells count="3">
    <mergeCell ref="R12:AI12"/>
    <mergeCell ref="Q15:AI15"/>
    <mergeCell ref="S14:AI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C1B3-753C-45B4-A48A-9D64BBFF15E5}">
  <dimension ref="B4:AI15"/>
  <sheetViews>
    <sheetView tabSelected="1" topLeftCell="B1" workbookViewId="0">
      <selection activeCell="A18" sqref="A18"/>
    </sheetView>
  </sheetViews>
  <sheetFormatPr defaultRowHeight="15"/>
  <cols>
    <col min="2" max="2" width="56.42578125" customWidth="1"/>
    <col min="3" max="35" width="3.28515625" customWidth="1"/>
  </cols>
  <sheetData>
    <row r="4" spans="2:35">
      <c r="B4" s="251"/>
      <c r="C4" s="292">
        <v>30</v>
      </c>
      <c r="D4" s="253">
        <v>31</v>
      </c>
      <c r="E4" s="253">
        <v>1</v>
      </c>
      <c r="F4" s="253">
        <v>2</v>
      </c>
      <c r="G4" s="253">
        <v>3</v>
      </c>
      <c r="H4" s="253">
        <v>4</v>
      </c>
      <c r="I4" s="253">
        <v>5</v>
      </c>
      <c r="J4" s="292">
        <v>6</v>
      </c>
      <c r="K4" s="253">
        <v>7</v>
      </c>
      <c r="L4" s="253">
        <v>8</v>
      </c>
      <c r="M4" s="253">
        <v>9</v>
      </c>
      <c r="N4" s="253">
        <v>10</v>
      </c>
      <c r="O4" s="253">
        <v>11</v>
      </c>
      <c r="P4" s="253">
        <v>12</v>
      </c>
      <c r="Q4" s="253">
        <v>13</v>
      </c>
      <c r="R4" s="253">
        <v>14</v>
      </c>
      <c r="S4" s="253">
        <v>15</v>
      </c>
      <c r="T4" s="253">
        <v>16</v>
      </c>
      <c r="U4" s="253">
        <v>17</v>
      </c>
      <c r="V4" s="253">
        <v>18</v>
      </c>
      <c r="W4" s="253">
        <v>19</v>
      </c>
      <c r="X4" s="253">
        <v>20</v>
      </c>
      <c r="Y4" s="253">
        <v>21</v>
      </c>
      <c r="Z4" s="253">
        <v>22</v>
      </c>
      <c r="AA4" s="253">
        <v>23</v>
      </c>
      <c r="AB4" s="253">
        <v>24</v>
      </c>
      <c r="AC4" s="253">
        <v>25</v>
      </c>
      <c r="AD4" s="253">
        <v>26</v>
      </c>
      <c r="AE4" s="253">
        <v>27</v>
      </c>
      <c r="AF4" s="253">
        <v>28</v>
      </c>
      <c r="AG4" s="253">
        <v>29</v>
      </c>
      <c r="AH4" s="253">
        <v>30</v>
      </c>
      <c r="AI4" s="253">
        <v>31</v>
      </c>
    </row>
    <row r="5" spans="2:35">
      <c r="B5" s="393" t="s">
        <v>1</v>
      </c>
      <c r="C5" s="355" t="s">
        <v>7</v>
      </c>
      <c r="D5" s="356" t="s">
        <v>2</v>
      </c>
      <c r="E5" s="252" t="s">
        <v>3</v>
      </c>
      <c r="F5" s="252" t="s">
        <v>3</v>
      </c>
      <c r="G5" s="252" t="s">
        <v>4</v>
      </c>
      <c r="H5" s="252" t="s">
        <v>5</v>
      </c>
      <c r="I5" s="252" t="s">
        <v>6</v>
      </c>
      <c r="J5" s="355" t="s">
        <v>7</v>
      </c>
      <c r="K5" s="356" t="s">
        <v>2</v>
      </c>
      <c r="L5" s="252" t="s">
        <v>3</v>
      </c>
      <c r="M5" s="252" t="s">
        <v>3</v>
      </c>
      <c r="N5" s="252" t="s">
        <v>4</v>
      </c>
      <c r="O5" s="252" t="s">
        <v>5</v>
      </c>
      <c r="P5" s="252" t="s">
        <v>6</v>
      </c>
      <c r="Q5" s="355" t="s">
        <v>7</v>
      </c>
      <c r="R5" s="356" t="s">
        <v>2</v>
      </c>
      <c r="S5" s="252" t="s">
        <v>3</v>
      </c>
      <c r="T5" s="252" t="s">
        <v>3</v>
      </c>
      <c r="U5" s="252" t="s">
        <v>4</v>
      </c>
      <c r="V5" s="252" t="s">
        <v>5</v>
      </c>
      <c r="W5" s="252" t="s">
        <v>6</v>
      </c>
      <c r="X5" s="355" t="s">
        <v>7</v>
      </c>
      <c r="Y5" s="356" t="s">
        <v>2</v>
      </c>
      <c r="Z5" s="252" t="s">
        <v>3</v>
      </c>
      <c r="AA5" s="252" t="s">
        <v>3</v>
      </c>
      <c r="AB5" s="252" t="s">
        <v>4</v>
      </c>
      <c r="AC5" s="252" t="s">
        <v>5</v>
      </c>
      <c r="AD5" s="252" t="s">
        <v>6</v>
      </c>
      <c r="AE5" s="355" t="s">
        <v>7</v>
      </c>
      <c r="AF5" s="356" t="s">
        <v>2</v>
      </c>
      <c r="AG5" s="252" t="s">
        <v>3</v>
      </c>
      <c r="AH5" s="252" t="s">
        <v>3</v>
      </c>
      <c r="AI5" s="252" t="s">
        <v>4</v>
      </c>
    </row>
    <row r="6" spans="2:35">
      <c r="B6" s="389" t="s">
        <v>128</v>
      </c>
      <c r="C6" s="382">
        <v>7</v>
      </c>
      <c r="D6" s="357">
        <v>4</v>
      </c>
      <c r="E6" s="357">
        <v>4</v>
      </c>
      <c r="F6" s="357">
        <v>4</v>
      </c>
      <c r="G6" s="361">
        <v>2</v>
      </c>
      <c r="H6" s="361">
        <v>2</v>
      </c>
      <c r="I6" s="361">
        <v>2</v>
      </c>
      <c r="J6" s="13" t="s">
        <v>2</v>
      </c>
      <c r="K6" s="361">
        <v>2</v>
      </c>
      <c r="L6" s="361">
        <v>2</v>
      </c>
      <c r="M6" s="361">
        <v>2</v>
      </c>
      <c r="N6" s="361">
        <v>2</v>
      </c>
      <c r="O6" s="361">
        <v>2</v>
      </c>
      <c r="P6" s="361">
        <v>2</v>
      </c>
      <c r="Q6" s="388" t="s">
        <v>2</v>
      </c>
      <c r="R6" s="357">
        <v>4</v>
      </c>
      <c r="S6" s="357">
        <v>4</v>
      </c>
      <c r="T6" s="357">
        <v>4</v>
      </c>
      <c r="U6" s="357">
        <v>4</v>
      </c>
      <c r="V6" s="357">
        <v>4</v>
      </c>
      <c r="W6" s="357">
        <v>4</v>
      </c>
      <c r="X6" s="360">
        <v>6</v>
      </c>
      <c r="Y6" s="264">
        <v>3</v>
      </c>
      <c r="Z6" s="264">
        <v>3</v>
      </c>
      <c r="AA6" s="264">
        <v>3</v>
      </c>
      <c r="AB6" s="264">
        <v>3</v>
      </c>
      <c r="AC6" s="264">
        <v>3</v>
      </c>
      <c r="AD6" s="264">
        <v>3</v>
      </c>
      <c r="AE6" s="253" t="s">
        <v>2</v>
      </c>
      <c r="AF6" s="357">
        <v>4</v>
      </c>
      <c r="AG6" s="357">
        <v>4</v>
      </c>
      <c r="AH6" s="357">
        <v>4</v>
      </c>
      <c r="AI6" s="357">
        <v>4</v>
      </c>
    </row>
    <row r="7" spans="2:35">
      <c r="B7" s="390" t="s">
        <v>92</v>
      </c>
      <c r="C7" s="13" t="s">
        <v>2</v>
      </c>
      <c r="D7" s="361">
        <v>2</v>
      </c>
      <c r="E7" s="361">
        <v>2</v>
      </c>
      <c r="F7" s="361">
        <v>2</v>
      </c>
      <c r="G7" s="357">
        <v>4</v>
      </c>
      <c r="H7" s="357">
        <v>4</v>
      </c>
      <c r="I7" s="357">
        <v>4</v>
      </c>
      <c r="J7" s="13" t="s">
        <v>2</v>
      </c>
      <c r="K7" s="381">
        <v>5</v>
      </c>
      <c r="L7" s="381">
        <v>5</v>
      </c>
      <c r="M7" s="381">
        <v>5</v>
      </c>
      <c r="N7" s="381">
        <v>5</v>
      </c>
      <c r="O7" s="381">
        <v>5</v>
      </c>
      <c r="P7" s="381">
        <v>5</v>
      </c>
      <c r="Q7" s="360">
        <v>6</v>
      </c>
      <c r="R7" s="361">
        <v>2</v>
      </c>
      <c r="S7" s="361">
        <v>2</v>
      </c>
      <c r="T7" s="361">
        <v>2</v>
      </c>
      <c r="U7" s="361">
        <v>2</v>
      </c>
      <c r="V7" s="361">
        <v>2</v>
      </c>
      <c r="W7" s="361">
        <v>2</v>
      </c>
      <c r="X7" s="388" t="s">
        <v>2</v>
      </c>
      <c r="Y7" s="361">
        <v>2</v>
      </c>
      <c r="Z7" s="361">
        <v>2</v>
      </c>
      <c r="AA7" s="361">
        <v>2</v>
      </c>
      <c r="AB7" s="361">
        <v>2</v>
      </c>
      <c r="AC7" s="361">
        <v>2</v>
      </c>
      <c r="AD7" s="388" t="s">
        <v>2</v>
      </c>
      <c r="AE7" s="13" t="s">
        <v>2</v>
      </c>
      <c r="AF7" s="264">
        <v>3</v>
      </c>
      <c r="AG7" s="264">
        <v>3</v>
      </c>
      <c r="AH7" s="264">
        <v>3</v>
      </c>
      <c r="AI7" s="264">
        <v>3</v>
      </c>
    </row>
    <row r="8" spans="2:35">
      <c r="B8" s="390" t="s">
        <v>64</v>
      </c>
      <c r="C8" s="360">
        <v>6</v>
      </c>
      <c r="D8" s="264">
        <v>3</v>
      </c>
      <c r="E8" s="264">
        <v>3</v>
      </c>
      <c r="F8" s="264">
        <v>3</v>
      </c>
      <c r="G8" s="264">
        <v>3</v>
      </c>
      <c r="H8" s="264">
        <v>3</v>
      </c>
      <c r="I8" s="264">
        <v>3</v>
      </c>
      <c r="J8" s="253" t="s">
        <v>2</v>
      </c>
      <c r="K8" s="357">
        <v>4</v>
      </c>
      <c r="L8" s="357">
        <v>4</v>
      </c>
      <c r="M8" s="357">
        <v>4</v>
      </c>
      <c r="N8" s="357">
        <v>4</v>
      </c>
      <c r="O8" s="357">
        <v>4</v>
      </c>
      <c r="P8" s="357">
        <v>4</v>
      </c>
      <c r="Q8" s="388" t="s">
        <v>2</v>
      </c>
      <c r="R8" s="264">
        <v>3</v>
      </c>
      <c r="S8" s="264">
        <v>3</v>
      </c>
      <c r="T8" s="264">
        <v>3</v>
      </c>
      <c r="U8" s="264">
        <v>3</v>
      </c>
      <c r="V8" s="264">
        <v>3</v>
      </c>
      <c r="W8" s="264">
        <v>3</v>
      </c>
      <c r="X8" s="382">
        <v>7</v>
      </c>
      <c r="Y8" s="381">
        <v>5</v>
      </c>
      <c r="Z8" s="381">
        <v>5</v>
      </c>
      <c r="AA8" s="381">
        <v>5</v>
      </c>
      <c r="AB8" s="381">
        <v>5</v>
      </c>
      <c r="AC8" s="381">
        <v>5</v>
      </c>
      <c r="AD8" s="381">
        <v>5</v>
      </c>
      <c r="AE8" s="388" t="s">
        <v>2</v>
      </c>
      <c r="AF8" s="361">
        <v>2</v>
      </c>
      <c r="AG8" s="361">
        <v>2</v>
      </c>
      <c r="AH8" s="361">
        <v>2</v>
      </c>
      <c r="AI8" s="361">
        <v>2</v>
      </c>
    </row>
    <row r="9" spans="2:35">
      <c r="B9" s="390" t="s">
        <v>130</v>
      </c>
      <c r="C9" s="13" t="s">
        <v>2</v>
      </c>
      <c r="D9" s="264">
        <v>3</v>
      </c>
      <c r="E9" s="264">
        <v>3</v>
      </c>
      <c r="F9" s="264">
        <v>3</v>
      </c>
      <c r="G9" s="264">
        <v>3</v>
      </c>
      <c r="H9" s="264">
        <v>3</v>
      </c>
      <c r="I9" s="264">
        <v>3</v>
      </c>
      <c r="J9" s="360">
        <v>6</v>
      </c>
      <c r="K9" s="357">
        <v>4</v>
      </c>
      <c r="L9" s="357">
        <v>4</v>
      </c>
      <c r="M9" s="357">
        <v>4</v>
      </c>
      <c r="N9" s="357">
        <v>4</v>
      </c>
      <c r="O9" s="357">
        <v>4</v>
      </c>
      <c r="P9" s="357">
        <v>4</v>
      </c>
      <c r="Q9" s="253" t="s">
        <v>2</v>
      </c>
      <c r="R9" s="264">
        <v>3</v>
      </c>
      <c r="S9" s="264">
        <v>3</v>
      </c>
      <c r="T9" s="264">
        <v>3</v>
      </c>
      <c r="U9" s="264">
        <v>3</v>
      </c>
      <c r="V9" s="264">
        <v>3</v>
      </c>
      <c r="W9" s="264">
        <v>3</v>
      </c>
      <c r="X9" s="388" t="s">
        <v>2</v>
      </c>
      <c r="Y9" s="357">
        <v>4</v>
      </c>
      <c r="Z9" s="357">
        <v>4</v>
      </c>
      <c r="AA9" s="357">
        <v>4</v>
      </c>
      <c r="AB9" s="357">
        <v>4</v>
      </c>
      <c r="AC9" s="357">
        <v>4</v>
      </c>
      <c r="AD9" s="357">
        <v>4</v>
      </c>
      <c r="AE9" s="382">
        <v>7</v>
      </c>
      <c r="AF9" s="263">
        <v>1</v>
      </c>
      <c r="AG9" s="263">
        <v>1</v>
      </c>
      <c r="AH9" s="263">
        <v>1</v>
      </c>
      <c r="AI9" s="263">
        <v>1</v>
      </c>
    </row>
    <row r="10" spans="2:35">
      <c r="B10" s="390" t="s">
        <v>131</v>
      </c>
      <c r="C10" s="13" t="s">
        <v>2</v>
      </c>
      <c r="D10" s="357">
        <v>4</v>
      </c>
      <c r="E10" s="357">
        <v>4</v>
      </c>
      <c r="F10" s="357">
        <v>4</v>
      </c>
      <c r="G10" s="357">
        <v>4</v>
      </c>
      <c r="H10" s="357">
        <v>4</v>
      </c>
      <c r="I10" s="357">
        <v>4</v>
      </c>
      <c r="J10" s="253" t="s">
        <v>2</v>
      </c>
      <c r="K10" s="264">
        <v>3</v>
      </c>
      <c r="L10" s="264">
        <v>3</v>
      </c>
      <c r="M10" s="264">
        <v>3</v>
      </c>
      <c r="N10" s="264">
        <v>3</v>
      </c>
      <c r="O10" s="394" t="s">
        <v>161</v>
      </c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6"/>
      <c r="AA10" s="263">
        <v>1</v>
      </c>
      <c r="AB10" s="263">
        <v>1</v>
      </c>
      <c r="AC10" s="263">
        <v>1</v>
      </c>
      <c r="AD10" s="263">
        <v>1</v>
      </c>
      <c r="AE10" s="360">
        <v>6</v>
      </c>
      <c r="AF10" s="381">
        <v>5</v>
      </c>
      <c r="AG10" s="381">
        <v>5</v>
      </c>
      <c r="AH10" s="381">
        <v>5</v>
      </c>
      <c r="AI10" s="381">
        <v>5</v>
      </c>
    </row>
    <row r="11" spans="2:35">
      <c r="B11" s="390" t="s">
        <v>71</v>
      </c>
      <c r="C11" s="13" t="s">
        <v>2</v>
      </c>
      <c r="D11" s="381">
        <v>5</v>
      </c>
      <c r="E11" s="381">
        <v>5</v>
      </c>
      <c r="F11" s="381">
        <v>5</v>
      </c>
      <c r="G11" s="381">
        <v>5</v>
      </c>
      <c r="H11" s="381">
        <v>5</v>
      </c>
      <c r="I11" s="381">
        <v>5</v>
      </c>
      <c r="J11" s="388" t="s">
        <v>2</v>
      </c>
      <c r="K11" s="264">
        <v>3</v>
      </c>
      <c r="L11" s="264">
        <v>3</v>
      </c>
      <c r="M11" s="264">
        <v>3</v>
      </c>
      <c r="N11" s="264">
        <v>3</v>
      </c>
      <c r="O11" s="264">
        <v>3</v>
      </c>
      <c r="P11" s="264">
        <v>3</v>
      </c>
      <c r="Q11" s="382">
        <v>7</v>
      </c>
      <c r="R11" s="357">
        <v>4</v>
      </c>
      <c r="S11" s="357">
        <v>4</v>
      </c>
      <c r="T11" s="357">
        <v>4</v>
      </c>
      <c r="U11" s="357">
        <v>4</v>
      </c>
      <c r="V11" s="357">
        <v>4</v>
      </c>
      <c r="W11" s="357">
        <v>4</v>
      </c>
      <c r="X11" s="253" t="s">
        <v>2</v>
      </c>
      <c r="Y11" s="264">
        <v>3</v>
      </c>
      <c r="Z11" s="264">
        <v>3</v>
      </c>
      <c r="AA11" s="264">
        <v>3</v>
      </c>
      <c r="AB11" s="264">
        <v>3</v>
      </c>
      <c r="AC11" s="264">
        <v>3</v>
      </c>
      <c r="AD11" s="264">
        <v>3</v>
      </c>
      <c r="AE11" s="253" t="s">
        <v>2</v>
      </c>
      <c r="AF11" s="357">
        <v>4</v>
      </c>
      <c r="AG11" s="357">
        <v>4</v>
      </c>
      <c r="AH11" s="357">
        <v>4</v>
      </c>
      <c r="AI11" s="357">
        <v>4</v>
      </c>
    </row>
    <row r="12" spans="2:35">
      <c r="B12" s="390" t="s">
        <v>133</v>
      </c>
      <c r="C12" s="397" t="s">
        <v>161</v>
      </c>
      <c r="D12" s="398"/>
      <c r="E12" s="398"/>
      <c r="F12" s="398"/>
      <c r="G12" s="398"/>
      <c r="H12" s="399"/>
      <c r="I12" s="263">
        <v>1</v>
      </c>
      <c r="J12" s="382">
        <v>7</v>
      </c>
      <c r="K12" s="263">
        <v>1</v>
      </c>
      <c r="L12" s="263">
        <v>1</v>
      </c>
      <c r="M12" s="263">
        <v>1</v>
      </c>
      <c r="N12" s="263">
        <v>1</v>
      </c>
      <c r="O12" s="264">
        <v>3</v>
      </c>
      <c r="P12" s="264">
        <v>3</v>
      </c>
      <c r="Q12" s="253" t="s">
        <v>2</v>
      </c>
      <c r="R12" s="381">
        <v>5</v>
      </c>
      <c r="S12" s="381">
        <v>5</v>
      </c>
      <c r="T12" s="381">
        <v>5</v>
      </c>
      <c r="U12" s="381">
        <v>5</v>
      </c>
      <c r="V12" s="381">
        <v>5</v>
      </c>
      <c r="W12" s="381">
        <v>5</v>
      </c>
      <c r="X12" s="388" t="s">
        <v>2</v>
      </c>
      <c r="Y12" s="357">
        <v>4</v>
      </c>
      <c r="Z12" s="357">
        <v>4</v>
      </c>
      <c r="AA12" s="357">
        <v>4</v>
      </c>
      <c r="AB12" s="357">
        <v>4</v>
      </c>
      <c r="AC12" s="357">
        <v>4</v>
      </c>
      <c r="AD12" s="357">
        <v>4</v>
      </c>
      <c r="AE12" s="388" t="s">
        <v>2</v>
      </c>
      <c r="AF12" s="264">
        <v>3</v>
      </c>
      <c r="AG12" s="264">
        <v>3</v>
      </c>
      <c r="AH12" s="264">
        <v>3</v>
      </c>
      <c r="AI12" s="264">
        <v>3</v>
      </c>
    </row>
    <row r="13" spans="2:35">
      <c r="B13" s="390" t="s">
        <v>14</v>
      </c>
      <c r="C13" s="253" t="s">
        <v>15</v>
      </c>
      <c r="D13" s="253"/>
      <c r="E13" s="253"/>
      <c r="F13" s="253"/>
      <c r="G13" s="253"/>
      <c r="H13" s="253"/>
      <c r="I13" s="253"/>
      <c r="J13" s="253"/>
      <c r="K13" s="388"/>
      <c r="L13" s="253"/>
      <c r="M13" s="253"/>
      <c r="N13" s="253"/>
      <c r="O13" s="253"/>
      <c r="P13" s="253"/>
      <c r="Q13" s="253"/>
      <c r="R13" s="253"/>
      <c r="S13" s="13"/>
      <c r="T13" s="13"/>
      <c r="U13" s="1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388"/>
    </row>
    <row r="14" spans="2:35">
      <c r="B14" s="391" t="s">
        <v>17</v>
      </c>
      <c r="C14" s="400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  <c r="AA14" s="401"/>
      <c r="AB14" s="401"/>
      <c r="AC14" s="401"/>
      <c r="AD14" s="401"/>
      <c r="AE14" s="401"/>
      <c r="AF14" s="401"/>
      <c r="AG14" s="401"/>
      <c r="AH14" s="401"/>
      <c r="AI14" s="402"/>
    </row>
    <row r="15" spans="2:35">
      <c r="B15" s="392" t="s">
        <v>16</v>
      </c>
      <c r="C15" s="397" t="s">
        <v>161</v>
      </c>
      <c r="D15" s="398"/>
      <c r="E15" s="398"/>
      <c r="F15" s="398"/>
      <c r="G15" s="399"/>
      <c r="H15" s="253"/>
      <c r="I15" s="253"/>
      <c r="J15" s="253"/>
      <c r="K15" s="388"/>
      <c r="L15" s="253"/>
      <c r="M15" s="253"/>
      <c r="N15" s="253"/>
      <c r="O15" s="253"/>
      <c r="P15" s="253"/>
      <c r="Q15" s="388"/>
      <c r="R15" s="388"/>
      <c r="S15" s="388"/>
      <c r="T15" s="388"/>
      <c r="U15" s="388"/>
      <c r="V15" s="388"/>
      <c r="W15" s="388"/>
      <c r="X15" s="388"/>
      <c r="Y15" s="388"/>
      <c r="Z15" s="388"/>
      <c r="AA15" s="388"/>
      <c r="AB15" s="388"/>
      <c r="AC15" s="388"/>
      <c r="AD15" s="388"/>
      <c r="AE15" s="388"/>
      <c r="AF15" s="388"/>
      <c r="AG15" s="388"/>
      <c r="AH15" s="388"/>
      <c r="AI15" s="388"/>
    </row>
  </sheetData>
  <mergeCells count="4">
    <mergeCell ref="O10:Z10"/>
    <mergeCell ref="C12:H12"/>
    <mergeCell ref="C15:G15"/>
    <mergeCell ref="C14:AI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F5A0-FAD7-4F52-9748-FBABD4F52448}">
  <dimension ref="A1:D41"/>
  <sheetViews>
    <sheetView workbookViewId="0">
      <selection activeCell="C44" sqref="C44"/>
    </sheetView>
  </sheetViews>
  <sheetFormatPr defaultRowHeight="15"/>
  <cols>
    <col min="1" max="1" width="15" style="212" customWidth="1"/>
    <col min="2" max="2" width="15" style="215" customWidth="1"/>
    <col min="3" max="3" width="19.85546875" customWidth="1"/>
    <col min="4" max="4" width="114.42578125" customWidth="1"/>
  </cols>
  <sheetData>
    <row r="1" spans="1:4">
      <c r="A1" s="211" t="s">
        <v>162</v>
      </c>
      <c r="B1" s="213" t="s">
        <v>163</v>
      </c>
      <c r="C1" s="210" t="s">
        <v>164</v>
      </c>
      <c r="D1" s="210" t="s">
        <v>165</v>
      </c>
    </row>
    <row r="2" spans="1:4">
      <c r="A2" s="178">
        <v>46098</v>
      </c>
      <c r="B2" s="214">
        <v>0.69444444444444442</v>
      </c>
      <c r="C2" s="172" t="s">
        <v>166</v>
      </c>
      <c r="D2" s="172" t="s">
        <v>167</v>
      </c>
    </row>
    <row r="3" spans="1:4">
      <c r="A3" s="178">
        <v>46092</v>
      </c>
      <c r="B3" s="214">
        <v>0.41666666666666669</v>
      </c>
      <c r="C3" s="172" t="s">
        <v>168</v>
      </c>
      <c r="D3" s="172" t="s">
        <v>169</v>
      </c>
    </row>
    <row r="4" spans="1:4">
      <c r="A4" s="178">
        <v>46093</v>
      </c>
      <c r="B4" s="214">
        <v>0.64583333333333337</v>
      </c>
      <c r="C4" s="172" t="s">
        <v>168</v>
      </c>
      <c r="D4" s="172" t="s">
        <v>170</v>
      </c>
    </row>
    <row r="5" spans="1:4">
      <c r="A5" s="178">
        <v>46100</v>
      </c>
      <c r="B5" s="214">
        <v>0.4861111111111111</v>
      </c>
      <c r="C5" s="172" t="s">
        <v>109</v>
      </c>
      <c r="D5" s="172" t="s">
        <v>171</v>
      </c>
    </row>
    <row r="6" spans="1:4">
      <c r="A6" s="178">
        <v>46099</v>
      </c>
      <c r="B6" s="214">
        <v>0.70833333333333337</v>
      </c>
      <c r="C6" s="172" t="s">
        <v>166</v>
      </c>
      <c r="D6" s="172" t="s">
        <v>172</v>
      </c>
    </row>
    <row r="7" spans="1:4">
      <c r="A7" s="178">
        <v>46094</v>
      </c>
      <c r="B7" s="214">
        <v>0.41666666666666669</v>
      </c>
      <c r="C7" s="172" t="s">
        <v>166</v>
      </c>
      <c r="D7" s="172" t="s">
        <v>173</v>
      </c>
    </row>
    <row r="8" spans="1:4">
      <c r="A8" s="178">
        <v>46093</v>
      </c>
      <c r="B8" s="214">
        <v>0.58333333333333337</v>
      </c>
      <c r="C8" s="172" t="s">
        <v>109</v>
      </c>
      <c r="D8" s="172" t="s">
        <v>174</v>
      </c>
    </row>
    <row r="9" spans="1:4">
      <c r="A9" s="230">
        <v>46107</v>
      </c>
      <c r="B9" s="231">
        <v>0.45833333333333331</v>
      </c>
      <c r="C9" s="232" t="s">
        <v>109</v>
      </c>
      <c r="D9" s="233" t="s">
        <v>175</v>
      </c>
    </row>
    <row r="10" spans="1:4">
      <c r="A10" s="230">
        <v>46111</v>
      </c>
      <c r="B10" s="231">
        <v>0.375</v>
      </c>
      <c r="C10" s="232" t="s">
        <v>176</v>
      </c>
      <c r="D10" s="233" t="s">
        <v>177</v>
      </c>
    </row>
    <row r="11" spans="1:4">
      <c r="A11" s="544" t="s">
        <v>178</v>
      </c>
      <c r="B11" s="545"/>
      <c r="C11" s="545"/>
      <c r="D11" s="546"/>
    </row>
    <row r="13" spans="1:4">
      <c r="A13" s="178">
        <v>46113</v>
      </c>
      <c r="B13" s="214">
        <v>0.6</v>
      </c>
      <c r="C13" s="172" t="s">
        <v>166</v>
      </c>
      <c r="D13" s="172" t="s">
        <v>179</v>
      </c>
    </row>
    <row r="14" spans="1:4">
      <c r="A14" s="178">
        <v>46113</v>
      </c>
      <c r="B14" s="214">
        <v>0.60416666666666663</v>
      </c>
      <c r="C14" s="172" t="s">
        <v>109</v>
      </c>
      <c r="D14" s="172" t="s">
        <v>180</v>
      </c>
    </row>
    <row r="15" spans="1:4">
      <c r="A15" s="178">
        <v>46113</v>
      </c>
      <c r="B15" s="214">
        <v>0.40277777777777779</v>
      </c>
      <c r="C15" s="172" t="s">
        <v>168</v>
      </c>
      <c r="D15" s="172" t="s">
        <v>181</v>
      </c>
    </row>
    <row r="16" spans="1:4">
      <c r="A16" s="178">
        <v>45389</v>
      </c>
      <c r="B16" s="214">
        <v>0.70833333333333337</v>
      </c>
      <c r="C16" s="172" t="s">
        <v>166</v>
      </c>
      <c r="D16" s="172" t="s">
        <v>172</v>
      </c>
    </row>
    <row r="17" spans="1:4">
      <c r="A17" s="178">
        <v>46125</v>
      </c>
      <c r="B17" s="214" t="s">
        <v>182</v>
      </c>
      <c r="C17" s="172" t="s">
        <v>166</v>
      </c>
      <c r="D17" s="172" t="s">
        <v>183</v>
      </c>
    </row>
    <row r="18" spans="1:4">
      <c r="A18" s="178">
        <v>46140</v>
      </c>
      <c r="B18" s="214"/>
      <c r="C18" s="172" t="s">
        <v>184</v>
      </c>
      <c r="D18" s="172" t="s">
        <v>185</v>
      </c>
    </row>
    <row r="19" spans="1:4">
      <c r="A19" s="547" t="s">
        <v>186</v>
      </c>
      <c r="B19" s="548"/>
      <c r="C19" s="548"/>
      <c r="D19" s="549"/>
    </row>
    <row r="20" spans="1:4">
      <c r="A20" s="178">
        <v>46169</v>
      </c>
      <c r="B20" s="214">
        <v>0.625</v>
      </c>
      <c r="C20" s="172" t="s">
        <v>168</v>
      </c>
      <c r="D20" s="172" t="s">
        <v>187</v>
      </c>
    </row>
    <row r="21" spans="1:4">
      <c r="A21" s="178"/>
      <c r="B21" s="214"/>
      <c r="C21" s="172"/>
      <c r="D21" s="172"/>
    </row>
    <row r="22" spans="1:4">
      <c r="A22" s="178">
        <v>46168</v>
      </c>
      <c r="B22" s="214" t="s">
        <v>188</v>
      </c>
      <c r="C22" s="172" t="s">
        <v>189</v>
      </c>
      <c r="D22" s="172" t="s">
        <v>190</v>
      </c>
    </row>
    <row r="23" spans="1:4">
      <c r="A23" s="178">
        <v>46170</v>
      </c>
      <c r="B23" s="214" t="s">
        <v>191</v>
      </c>
      <c r="C23" s="172" t="s">
        <v>192</v>
      </c>
      <c r="D23" s="172" t="s">
        <v>190</v>
      </c>
    </row>
    <row r="24" spans="1:4">
      <c r="A24" s="550" t="s">
        <v>193</v>
      </c>
      <c r="B24" s="551"/>
      <c r="C24" s="551"/>
      <c r="D24" s="552"/>
    </row>
    <row r="25" spans="1:4">
      <c r="A25" s="178">
        <v>46183</v>
      </c>
      <c r="B25" s="214">
        <v>0.625</v>
      </c>
      <c r="C25" s="172" t="s">
        <v>168</v>
      </c>
      <c r="D25" s="172" t="s">
        <v>187</v>
      </c>
    </row>
    <row r="26" spans="1:4">
      <c r="A26" s="289">
        <v>46177</v>
      </c>
      <c r="B26" s="290"/>
      <c r="C26" s="182" t="s">
        <v>194</v>
      </c>
      <c r="D26" s="182" t="s">
        <v>195</v>
      </c>
    </row>
    <row r="27" spans="1:4">
      <c r="A27" s="178">
        <v>46189</v>
      </c>
      <c r="B27" s="214"/>
      <c r="C27" s="172" t="s">
        <v>166</v>
      </c>
      <c r="D27" s="172" t="s">
        <v>195</v>
      </c>
    </row>
    <row r="28" spans="1:4">
      <c r="A28" s="178">
        <v>46184</v>
      </c>
      <c r="B28" s="214"/>
      <c r="C28" s="172" t="s">
        <v>168</v>
      </c>
      <c r="D28" s="172" t="s">
        <v>196</v>
      </c>
    </row>
    <row r="29" spans="1:4">
      <c r="A29" s="178">
        <v>46196</v>
      </c>
      <c r="B29" s="214"/>
      <c r="C29" s="172" t="s">
        <v>176</v>
      </c>
      <c r="D29" s="172" t="s">
        <v>195</v>
      </c>
    </row>
    <row r="30" spans="1:4">
      <c r="A30" s="289">
        <v>46195</v>
      </c>
      <c r="B30" s="290">
        <v>0.58333333333333337</v>
      </c>
      <c r="C30" s="182" t="s">
        <v>168</v>
      </c>
      <c r="D30" s="182" t="s">
        <v>197</v>
      </c>
    </row>
    <row r="31" spans="1:4">
      <c r="A31" s="553" t="s">
        <v>198</v>
      </c>
      <c r="B31" s="553"/>
      <c r="C31" s="553"/>
      <c r="D31" s="553"/>
    </row>
    <row r="32" spans="1:4">
      <c r="A32" s="178">
        <v>46196</v>
      </c>
      <c r="B32" s="214">
        <v>0.51388888888888884</v>
      </c>
      <c r="C32" s="172" t="s">
        <v>168</v>
      </c>
      <c r="D32" s="172" t="s">
        <v>199</v>
      </c>
    </row>
    <row r="33" spans="1:4">
      <c r="A33" s="178">
        <v>46206</v>
      </c>
      <c r="B33" s="214">
        <v>0.41666666666666669</v>
      </c>
      <c r="C33" s="172" t="s">
        <v>168</v>
      </c>
      <c r="D33" s="172" t="s">
        <v>199</v>
      </c>
    </row>
    <row r="34" spans="1:4">
      <c r="A34" s="178">
        <v>46224</v>
      </c>
      <c r="B34" s="214"/>
      <c r="C34" s="172" t="s">
        <v>166</v>
      </c>
      <c r="D34" s="172" t="s">
        <v>200</v>
      </c>
    </row>
    <row r="35" spans="1:4">
      <c r="A35" s="178">
        <v>46217</v>
      </c>
      <c r="B35" s="214">
        <v>0.4375</v>
      </c>
      <c r="C35" s="172" t="s">
        <v>201</v>
      </c>
      <c r="D35" s="172" t="s">
        <v>202</v>
      </c>
    </row>
    <row r="36" spans="1:4">
      <c r="A36" s="178">
        <v>46218</v>
      </c>
      <c r="B36" s="214"/>
      <c r="C36" s="172" t="s">
        <v>176</v>
      </c>
      <c r="D36" s="172" t="s">
        <v>202</v>
      </c>
    </row>
    <row r="37" spans="1:4">
      <c r="A37" s="178">
        <v>46219</v>
      </c>
      <c r="B37" s="214"/>
      <c r="C37" s="172" t="s">
        <v>109</v>
      </c>
      <c r="D37" s="172" t="s">
        <v>202</v>
      </c>
    </row>
    <row r="38" spans="1:4">
      <c r="A38" s="178">
        <v>46227</v>
      </c>
      <c r="B38" s="214"/>
      <c r="C38" s="172" t="s">
        <v>115</v>
      </c>
      <c r="D38" s="172" t="s">
        <v>202</v>
      </c>
    </row>
    <row r="39" spans="1:4">
      <c r="A39" s="178">
        <v>46224</v>
      </c>
      <c r="B39" s="214"/>
      <c r="C39" s="172" t="s">
        <v>203</v>
      </c>
      <c r="D39" s="172" t="s">
        <v>204</v>
      </c>
    </row>
    <row r="40" spans="1:4">
      <c r="A40" s="178">
        <v>46220</v>
      </c>
      <c r="B40" s="214">
        <v>0.33333333333333331</v>
      </c>
      <c r="C40" s="172" t="s">
        <v>205</v>
      </c>
      <c r="D40" s="172" t="s">
        <v>206</v>
      </c>
    </row>
    <row r="41" spans="1:4">
      <c r="A41" s="178">
        <v>46220</v>
      </c>
      <c r="B41" s="214"/>
      <c r="C41" s="172" t="s">
        <v>207</v>
      </c>
      <c r="D41" s="172" t="s">
        <v>208</v>
      </c>
    </row>
  </sheetData>
  <mergeCells count="4">
    <mergeCell ref="A11:D11"/>
    <mergeCell ref="A19:D19"/>
    <mergeCell ref="A24:D24"/>
    <mergeCell ref="A31:D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38A0-6996-4804-BBFA-ECE2F5F42BF1}">
  <sheetPr>
    <tabColor rgb="FF54662B"/>
  </sheetPr>
  <dimension ref="B2:M33"/>
  <sheetViews>
    <sheetView workbookViewId="0">
      <pane ySplit="3" topLeftCell="B4" activePane="bottomLeft" state="frozen"/>
      <selection pane="bottomLeft" activeCell="B22" sqref="B22:I24"/>
    </sheetView>
  </sheetViews>
  <sheetFormatPr defaultColWidth="9.140625" defaultRowHeight="15"/>
  <cols>
    <col min="2" max="2" width="37" bestFit="1" customWidth="1"/>
    <col min="3" max="3" width="15.42578125" bestFit="1" customWidth="1"/>
    <col min="4" max="4" width="23.42578125" bestFit="1" customWidth="1"/>
    <col min="5" max="5" width="24.85546875" bestFit="1" customWidth="1"/>
    <col min="6" max="6" width="11.5703125" bestFit="1" customWidth="1"/>
    <col min="7" max="7" width="12.42578125" bestFit="1" customWidth="1"/>
    <col min="8" max="8" width="13.5703125" customWidth="1"/>
    <col min="9" max="9" width="66" customWidth="1"/>
    <col min="12" max="12" width="37" customWidth="1"/>
    <col min="13" max="13" width="23.85546875" bestFit="1" customWidth="1"/>
  </cols>
  <sheetData>
    <row r="2" spans="2:13">
      <c r="B2" s="570" t="s">
        <v>209</v>
      </c>
      <c r="C2" s="571"/>
      <c r="D2" s="571"/>
      <c r="E2" s="571"/>
      <c r="F2" s="571"/>
      <c r="G2" s="571"/>
      <c r="H2" s="571"/>
      <c r="I2" s="572"/>
    </row>
    <row r="3" spans="2:13" ht="45">
      <c r="B3" s="36" t="s">
        <v>60</v>
      </c>
      <c r="C3" s="37" t="s">
        <v>210</v>
      </c>
      <c r="D3" s="37" t="s">
        <v>211</v>
      </c>
      <c r="E3" s="38" t="s">
        <v>212</v>
      </c>
      <c r="F3" s="37" t="s">
        <v>213</v>
      </c>
      <c r="G3" s="37" t="s">
        <v>214</v>
      </c>
      <c r="H3" s="37" t="s">
        <v>215</v>
      </c>
      <c r="I3" s="39" t="s">
        <v>165</v>
      </c>
    </row>
    <row r="4" spans="2:13">
      <c r="B4" s="573" t="s">
        <v>63</v>
      </c>
      <c r="C4" s="554">
        <v>45839</v>
      </c>
      <c r="D4" s="40" t="s">
        <v>216</v>
      </c>
      <c r="E4" s="561"/>
      <c r="F4" s="40"/>
      <c r="G4" s="41">
        <v>46142</v>
      </c>
      <c r="H4" s="41">
        <v>46164</v>
      </c>
      <c r="I4" s="42" t="s">
        <v>217</v>
      </c>
      <c r="L4" s="48" t="s">
        <v>63</v>
      </c>
      <c r="M4" s="49" t="s">
        <v>218</v>
      </c>
    </row>
    <row r="5" spans="2:13">
      <c r="B5" s="574"/>
      <c r="C5" s="555"/>
      <c r="D5" s="40"/>
      <c r="E5" s="562"/>
      <c r="F5" s="41"/>
      <c r="G5" s="41"/>
      <c r="H5" s="41"/>
      <c r="I5" s="42"/>
      <c r="L5" s="48" t="s">
        <v>66</v>
      </c>
      <c r="M5" s="49" t="s">
        <v>216</v>
      </c>
    </row>
    <row r="6" spans="2:13">
      <c r="B6" s="575"/>
      <c r="C6" s="556"/>
      <c r="D6" s="40"/>
      <c r="E6" s="563"/>
      <c r="F6" s="227"/>
      <c r="G6" s="227"/>
      <c r="H6" s="227"/>
      <c r="I6" s="42"/>
      <c r="L6" s="48" t="s">
        <v>74</v>
      </c>
      <c r="M6" s="49" t="s">
        <v>219</v>
      </c>
    </row>
    <row r="7" spans="2:13" ht="15.75">
      <c r="B7" s="576" t="s">
        <v>64</v>
      </c>
      <c r="C7" s="554">
        <v>46174</v>
      </c>
      <c r="D7" s="40"/>
      <c r="E7" s="579"/>
      <c r="F7" s="178"/>
      <c r="G7" s="225">
        <v>46178</v>
      </c>
      <c r="H7" s="225">
        <v>46203</v>
      </c>
      <c r="I7" s="226" t="s">
        <v>220</v>
      </c>
      <c r="L7" s="48" t="s">
        <v>64</v>
      </c>
      <c r="M7" s="49"/>
    </row>
    <row r="8" spans="2:13">
      <c r="B8" s="577"/>
      <c r="C8" s="580"/>
      <c r="D8" s="40"/>
      <c r="E8" s="562"/>
      <c r="F8" s="228"/>
      <c r="G8" s="229"/>
      <c r="H8" s="229"/>
      <c r="I8" s="42"/>
      <c r="L8" s="48" t="s">
        <v>14</v>
      </c>
      <c r="M8" s="49"/>
    </row>
    <row r="9" spans="2:13">
      <c r="B9" s="578"/>
      <c r="C9" s="581"/>
      <c r="D9" s="40"/>
      <c r="E9" s="563"/>
      <c r="F9" s="41"/>
      <c r="G9" s="41"/>
      <c r="H9" s="41"/>
      <c r="I9" s="42"/>
      <c r="L9" s="48" t="s">
        <v>68</v>
      </c>
      <c r="M9" s="49"/>
    </row>
    <row r="10" spans="2:13">
      <c r="B10" s="582" t="s">
        <v>66</v>
      </c>
      <c r="C10" s="554">
        <v>45922</v>
      </c>
      <c r="D10" s="40" t="s">
        <v>216</v>
      </c>
      <c r="E10" s="561"/>
      <c r="F10" s="41">
        <v>46100</v>
      </c>
      <c r="G10" s="41">
        <v>46111</v>
      </c>
      <c r="H10" s="41">
        <v>46122</v>
      </c>
      <c r="I10" s="42" t="s">
        <v>221</v>
      </c>
      <c r="L10" s="48" t="s">
        <v>70</v>
      </c>
      <c r="M10" s="49"/>
    </row>
    <row r="11" spans="2:13">
      <c r="B11" s="583"/>
      <c r="C11" s="555"/>
      <c r="D11" s="40"/>
      <c r="E11" s="562"/>
      <c r="F11" s="41"/>
      <c r="G11" s="41"/>
      <c r="H11" s="41"/>
      <c r="I11" s="42"/>
      <c r="L11" s="48" t="s">
        <v>71</v>
      </c>
      <c r="M11" s="49"/>
    </row>
    <row r="12" spans="2:13">
      <c r="B12" s="584"/>
      <c r="C12" s="556"/>
      <c r="D12" s="40"/>
      <c r="E12" s="563"/>
      <c r="F12" s="40"/>
      <c r="G12" s="40"/>
      <c r="H12" s="40"/>
      <c r="I12" s="42"/>
      <c r="L12" s="40" t="s">
        <v>222</v>
      </c>
      <c r="M12" s="49"/>
    </row>
    <row r="13" spans="2:13">
      <c r="B13" s="558" t="s">
        <v>68</v>
      </c>
      <c r="C13" s="554">
        <v>45731</v>
      </c>
      <c r="D13" s="40"/>
      <c r="E13" s="561" t="s">
        <v>216</v>
      </c>
      <c r="F13" s="41"/>
      <c r="G13" s="41">
        <v>46300</v>
      </c>
      <c r="H13" s="41">
        <v>46321</v>
      </c>
      <c r="I13" s="42" t="s">
        <v>223</v>
      </c>
    </row>
    <row r="14" spans="2:13">
      <c r="B14" s="559"/>
      <c r="C14" s="555"/>
      <c r="D14" s="40"/>
      <c r="E14" s="562"/>
      <c r="F14" s="40"/>
      <c r="G14" s="41">
        <v>46302</v>
      </c>
      <c r="H14" s="41">
        <v>46314</v>
      </c>
      <c r="I14" s="42"/>
    </row>
    <row r="15" spans="2:13">
      <c r="B15" s="560"/>
      <c r="C15" s="556"/>
      <c r="D15" s="40"/>
      <c r="E15" s="563"/>
      <c r="F15" s="41"/>
      <c r="G15" s="41"/>
      <c r="H15" s="41"/>
      <c r="I15" s="43"/>
    </row>
    <row r="16" spans="2:13">
      <c r="B16" s="564" t="s">
        <v>70</v>
      </c>
      <c r="C16" s="554">
        <v>45939</v>
      </c>
      <c r="D16" s="40" t="s">
        <v>216</v>
      </c>
      <c r="E16" s="561" t="s">
        <v>216</v>
      </c>
      <c r="F16" s="41"/>
      <c r="G16" s="41">
        <v>46276</v>
      </c>
      <c r="H16" s="41">
        <v>46287</v>
      </c>
      <c r="I16" s="224" t="s">
        <v>224</v>
      </c>
    </row>
    <row r="17" spans="2:9">
      <c r="B17" s="565"/>
      <c r="C17" s="555"/>
      <c r="D17" s="40"/>
      <c r="E17" s="562"/>
      <c r="F17" s="40"/>
      <c r="G17" s="41"/>
      <c r="H17" s="41"/>
      <c r="I17" s="42"/>
    </row>
    <row r="18" spans="2:9">
      <c r="B18" s="566"/>
      <c r="C18" s="556"/>
      <c r="D18" s="40"/>
      <c r="E18" s="563"/>
      <c r="F18" s="40"/>
      <c r="G18" s="41"/>
      <c r="H18" s="41"/>
      <c r="I18" s="44"/>
    </row>
    <row r="19" spans="2:9">
      <c r="B19" s="567" t="s">
        <v>71</v>
      </c>
      <c r="C19" s="554">
        <v>45803</v>
      </c>
      <c r="D19" s="40" t="s">
        <v>216</v>
      </c>
      <c r="E19" s="561"/>
      <c r="F19" s="41">
        <v>46063</v>
      </c>
      <c r="G19" s="41">
        <v>46087</v>
      </c>
      <c r="H19" s="41">
        <v>46108</v>
      </c>
      <c r="I19" s="42"/>
    </row>
    <row r="20" spans="2:9">
      <c r="B20" s="568"/>
      <c r="C20" s="555"/>
      <c r="D20" s="40"/>
      <c r="E20" s="562"/>
      <c r="F20" s="40"/>
      <c r="G20" s="41"/>
      <c r="H20" s="41"/>
      <c r="I20" s="42"/>
    </row>
    <row r="21" spans="2:9">
      <c r="B21" s="569"/>
      <c r="C21" s="556"/>
      <c r="D21" s="40"/>
      <c r="E21" s="563"/>
      <c r="F21" s="40"/>
      <c r="G21" s="40"/>
      <c r="H21" s="40"/>
      <c r="I21" s="45"/>
    </row>
    <row r="22" spans="2:9">
      <c r="B22" s="588" t="s">
        <v>74</v>
      </c>
      <c r="C22" s="598"/>
      <c r="D22" s="40" t="s">
        <v>216</v>
      </c>
      <c r="E22" s="561" t="s">
        <v>216</v>
      </c>
      <c r="F22" s="41"/>
      <c r="G22" s="41">
        <v>46247</v>
      </c>
      <c r="H22" s="41">
        <v>46268</v>
      </c>
      <c r="I22" s="42"/>
    </row>
    <row r="23" spans="2:9">
      <c r="B23" s="589"/>
      <c r="C23" s="580"/>
      <c r="D23" s="40"/>
      <c r="E23" s="562"/>
      <c r="F23" s="40"/>
      <c r="G23" s="41"/>
      <c r="H23" s="41"/>
      <c r="I23" s="42"/>
    </row>
    <row r="24" spans="2:9">
      <c r="B24" s="590"/>
      <c r="C24" s="581"/>
      <c r="D24" s="40"/>
      <c r="E24" s="563"/>
      <c r="F24" s="40"/>
      <c r="G24" s="40"/>
      <c r="H24" s="40"/>
      <c r="I24" s="42"/>
    </row>
    <row r="25" spans="2:9">
      <c r="B25" s="591" t="s">
        <v>14</v>
      </c>
      <c r="C25" s="554">
        <v>45983</v>
      </c>
      <c r="D25" s="40" t="s">
        <v>216</v>
      </c>
      <c r="E25" s="561" t="s">
        <v>216</v>
      </c>
      <c r="F25" s="41"/>
      <c r="G25" s="41">
        <v>46167</v>
      </c>
      <c r="H25" s="41">
        <v>46176</v>
      </c>
      <c r="I25" s="42" t="s">
        <v>225</v>
      </c>
    </row>
    <row r="26" spans="2:9">
      <c r="B26" s="592"/>
      <c r="C26" s="555"/>
      <c r="D26" s="40"/>
      <c r="E26" s="562"/>
      <c r="F26" s="41"/>
      <c r="G26" s="41"/>
      <c r="H26" s="41"/>
      <c r="I26" s="42"/>
    </row>
    <row r="27" spans="2:9">
      <c r="B27" s="593"/>
      <c r="C27" s="557"/>
      <c r="D27" s="40"/>
      <c r="E27" s="563"/>
      <c r="F27" s="46"/>
      <c r="G27" s="46"/>
      <c r="H27" s="46"/>
      <c r="I27" s="47"/>
    </row>
    <row r="28" spans="2:9">
      <c r="B28" s="472" t="s">
        <v>92</v>
      </c>
      <c r="C28" s="594"/>
      <c r="D28" s="40" t="s">
        <v>216</v>
      </c>
      <c r="E28" s="561" t="s">
        <v>216</v>
      </c>
      <c r="F28" s="41"/>
      <c r="G28" s="41">
        <v>46323</v>
      </c>
      <c r="H28" s="41">
        <v>46335</v>
      </c>
      <c r="I28" s="42" t="s">
        <v>226</v>
      </c>
    </row>
    <row r="29" spans="2:9">
      <c r="B29" s="473"/>
      <c r="C29" s="586"/>
      <c r="D29" s="40"/>
      <c r="E29" s="562"/>
      <c r="F29" s="40"/>
      <c r="G29" s="41"/>
      <c r="H29" s="41"/>
      <c r="I29" s="42"/>
    </row>
    <row r="30" spans="2:9">
      <c r="B30" s="474"/>
      <c r="C30" s="587"/>
      <c r="D30" s="40"/>
      <c r="E30" s="563"/>
      <c r="F30" s="40"/>
      <c r="G30" s="40"/>
      <c r="H30" s="40"/>
      <c r="I30" s="42"/>
    </row>
    <row r="31" spans="2:9">
      <c r="B31" s="595" t="s">
        <v>133</v>
      </c>
      <c r="C31" s="585">
        <v>46114</v>
      </c>
      <c r="D31" s="40" t="s">
        <v>216</v>
      </c>
      <c r="E31" s="561" t="s">
        <v>216</v>
      </c>
      <c r="F31" s="41"/>
      <c r="G31" s="41">
        <v>46248</v>
      </c>
      <c r="H31" s="41">
        <v>46269</v>
      </c>
      <c r="I31" s="42" t="s">
        <v>227</v>
      </c>
    </row>
    <row r="32" spans="2:9">
      <c r="B32" s="596"/>
      <c r="C32" s="586"/>
      <c r="D32" s="40"/>
      <c r="E32" s="562"/>
      <c r="F32" s="40"/>
      <c r="G32" s="41"/>
      <c r="H32" s="41"/>
      <c r="I32" s="42"/>
    </row>
    <row r="33" spans="2:9">
      <c r="B33" s="597"/>
      <c r="C33" s="587"/>
      <c r="D33" s="40"/>
      <c r="E33" s="563"/>
      <c r="F33" s="40"/>
      <c r="G33" s="40"/>
      <c r="H33" s="40"/>
      <c r="I33" s="42"/>
    </row>
  </sheetData>
  <mergeCells count="31">
    <mergeCell ref="C10:C12"/>
    <mergeCell ref="C13:C15"/>
    <mergeCell ref="B10:B12"/>
    <mergeCell ref="E10:E12"/>
    <mergeCell ref="C31:C33"/>
    <mergeCell ref="B22:B24"/>
    <mergeCell ref="E22:E24"/>
    <mergeCell ref="B25:B27"/>
    <mergeCell ref="E25:E27"/>
    <mergeCell ref="C28:C30"/>
    <mergeCell ref="B31:B33"/>
    <mergeCell ref="E28:E30"/>
    <mergeCell ref="E31:E33"/>
    <mergeCell ref="C22:C24"/>
    <mergeCell ref="B28:B30"/>
    <mergeCell ref="C16:C18"/>
    <mergeCell ref="B2:I2"/>
    <mergeCell ref="B4:B6"/>
    <mergeCell ref="E4:E6"/>
    <mergeCell ref="B7:B9"/>
    <mergeCell ref="E7:E9"/>
    <mergeCell ref="C7:C9"/>
    <mergeCell ref="C4:C6"/>
    <mergeCell ref="C19:C21"/>
    <mergeCell ref="C25:C27"/>
    <mergeCell ref="B13:B15"/>
    <mergeCell ref="E13:E15"/>
    <mergeCell ref="B16:B18"/>
    <mergeCell ref="E16:E18"/>
    <mergeCell ref="B19:B21"/>
    <mergeCell ref="E19:E21"/>
  </mergeCells>
  <dataValidations count="2">
    <dataValidation type="list" allowBlank="1" showInputMessage="1" showErrorMessage="1" sqref="B4 B7 B10 B13 B16 B19 B22 B25" xr:uid="{145E1F39-F347-4CD9-9156-0419A8E33827}">
      <formula1>$M$4:$M$12</formula1>
    </dataValidation>
    <dataValidation type="list" allowBlank="1" showInputMessage="1" showErrorMessage="1" sqref="D4:E33" xr:uid="{75A4B52B-5C3E-48C6-8F86-E5C304F417DA}">
      <formula1>$M$4:$M$6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51D3-31A7-4229-8AA1-15F1D3C11799}">
  <dimension ref="B2:C30"/>
  <sheetViews>
    <sheetView workbookViewId="0">
      <selection activeCell="C3" sqref="C3:C5"/>
    </sheetView>
  </sheetViews>
  <sheetFormatPr defaultRowHeight="15"/>
  <cols>
    <col min="2" max="2" width="37.5703125" customWidth="1"/>
    <col min="3" max="3" width="29.140625" customWidth="1"/>
    <col min="4" max="4" width="18.42578125" bestFit="1" customWidth="1"/>
  </cols>
  <sheetData>
    <row r="2" spans="2:3" ht="28.5">
      <c r="B2" s="123" t="s">
        <v>60</v>
      </c>
      <c r="C2" s="123" t="s">
        <v>228</v>
      </c>
    </row>
    <row r="3" spans="2:3">
      <c r="B3" s="599" t="s">
        <v>63</v>
      </c>
      <c r="C3" s="600">
        <v>46196</v>
      </c>
    </row>
    <row r="4" spans="2:3">
      <c r="B4" s="599"/>
      <c r="C4" s="600"/>
    </row>
    <row r="5" spans="2:3">
      <c r="B5" s="603"/>
      <c r="C5" s="601"/>
    </row>
    <row r="6" spans="2:3">
      <c r="B6" s="602" t="s">
        <v>64</v>
      </c>
      <c r="C6" s="599" t="s">
        <v>229</v>
      </c>
    </row>
    <row r="7" spans="2:3">
      <c r="B7" s="602"/>
      <c r="C7" s="599"/>
    </row>
    <row r="8" spans="2:3">
      <c r="B8" s="602"/>
      <c r="C8" s="599"/>
    </row>
    <row r="9" spans="2:3">
      <c r="B9" s="604" t="s">
        <v>66</v>
      </c>
      <c r="C9" s="605" t="s">
        <v>230</v>
      </c>
    </row>
    <row r="10" spans="2:3">
      <c r="B10" s="599"/>
      <c r="C10" s="600"/>
    </row>
    <row r="11" spans="2:3">
      <c r="B11" s="599"/>
      <c r="C11" s="600"/>
    </row>
    <row r="12" spans="2:3">
      <c r="B12" s="599" t="s">
        <v>68</v>
      </c>
      <c r="C12" s="600" t="s">
        <v>231</v>
      </c>
    </row>
    <row r="13" spans="2:3">
      <c r="B13" s="599"/>
      <c r="C13" s="600"/>
    </row>
    <row r="14" spans="2:3">
      <c r="B14" s="599"/>
      <c r="C14" s="600"/>
    </row>
    <row r="15" spans="2:3">
      <c r="B15" s="599" t="s">
        <v>70</v>
      </c>
      <c r="C15" s="600" t="s">
        <v>230</v>
      </c>
    </row>
    <row r="16" spans="2:3">
      <c r="B16" s="599"/>
      <c r="C16" s="600"/>
    </row>
    <row r="17" spans="2:3">
      <c r="B17" s="599"/>
      <c r="C17" s="600"/>
    </row>
    <row r="18" spans="2:3">
      <c r="B18" s="599" t="s">
        <v>71</v>
      </c>
      <c r="C18" s="600">
        <v>46177</v>
      </c>
    </row>
    <row r="19" spans="2:3">
      <c r="B19" s="599"/>
      <c r="C19" s="600"/>
    </row>
    <row r="20" spans="2:3">
      <c r="B20" s="599"/>
      <c r="C20" s="601"/>
    </row>
    <row r="21" spans="2:3">
      <c r="B21" s="602" t="s">
        <v>74</v>
      </c>
      <c r="C21" s="600">
        <v>46113</v>
      </c>
    </row>
    <row r="22" spans="2:3">
      <c r="B22" s="602"/>
      <c r="C22" s="599"/>
    </row>
    <row r="23" spans="2:3">
      <c r="B23" s="602"/>
      <c r="C23" s="599"/>
    </row>
    <row r="24" spans="2:3">
      <c r="B24" s="599" t="s">
        <v>14</v>
      </c>
      <c r="C24" s="605">
        <v>46125</v>
      </c>
    </row>
    <row r="25" spans="2:3">
      <c r="B25" s="599"/>
      <c r="C25" s="600"/>
    </row>
    <row r="26" spans="2:3">
      <c r="B26" s="599"/>
      <c r="C26" s="600"/>
    </row>
    <row r="27" spans="2:3" ht="36.75" customHeight="1">
      <c r="B27" s="125" t="s">
        <v>92</v>
      </c>
      <c r="C27" s="124">
        <v>46108</v>
      </c>
    </row>
    <row r="28" spans="2:3">
      <c r="B28" s="472" t="s">
        <v>133</v>
      </c>
      <c r="C28" s="606" t="s">
        <v>232</v>
      </c>
    </row>
    <row r="29" spans="2:3">
      <c r="B29" s="473"/>
      <c r="C29" s="607"/>
    </row>
    <row r="30" spans="2:3">
      <c r="B30" s="474"/>
      <c r="C30" s="607"/>
    </row>
  </sheetData>
  <mergeCells count="18">
    <mergeCell ref="B28:B30"/>
    <mergeCell ref="C28:C30"/>
    <mergeCell ref="B24:B26"/>
    <mergeCell ref="C24:C26"/>
    <mergeCell ref="C21:C23"/>
    <mergeCell ref="C6:C8"/>
    <mergeCell ref="B15:B17"/>
    <mergeCell ref="C15:C17"/>
    <mergeCell ref="B3:B5"/>
    <mergeCell ref="C3:C5"/>
    <mergeCell ref="B6:B8"/>
    <mergeCell ref="B9:B11"/>
    <mergeCell ref="C9:C11"/>
    <mergeCell ref="B18:B20"/>
    <mergeCell ref="C18:C20"/>
    <mergeCell ref="B21:B23"/>
    <mergeCell ref="B12:B14"/>
    <mergeCell ref="C12:C14"/>
  </mergeCells>
  <dataValidations count="1">
    <dataValidation type="list" allowBlank="1" showInputMessage="1" showErrorMessage="1" sqref="B3 B6 B9 B12 B15 B18 B21 B24" xr:uid="{C7F58F12-858C-4A3E-B9AD-0C53122D2D81}">
      <formula1>$M$4:$M$12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0269-C759-4FB6-8DA6-222515102876}">
  <dimension ref="A1:K20"/>
  <sheetViews>
    <sheetView workbookViewId="0">
      <selection activeCell="J12" sqref="J12"/>
    </sheetView>
  </sheetViews>
  <sheetFormatPr defaultRowHeight="15"/>
  <cols>
    <col min="1" max="1" width="11.7109375" style="223" bestFit="1" customWidth="1"/>
    <col min="2" max="2" width="36.5703125" bestFit="1" customWidth="1"/>
    <col min="3" max="3" width="36.5703125" hidden="1" customWidth="1"/>
    <col min="4" max="4" width="10.28515625" hidden="1" customWidth="1"/>
    <col min="5" max="5" width="15.5703125" hidden="1" customWidth="1"/>
    <col min="6" max="6" width="15.42578125" hidden="1" customWidth="1"/>
    <col min="7" max="7" width="14.7109375" hidden="1" customWidth="1"/>
    <col min="8" max="8" width="36.5703125" hidden="1" customWidth="1"/>
    <col min="9" max="9" width="33.85546875" bestFit="1" customWidth="1"/>
    <col min="10" max="10" width="31.5703125" bestFit="1" customWidth="1"/>
    <col min="11" max="11" width="33.85546875" bestFit="1" customWidth="1"/>
  </cols>
  <sheetData>
    <row r="1" spans="1:11" ht="16.5">
      <c r="A1" s="220" t="s">
        <v>233</v>
      </c>
      <c r="B1" s="219"/>
      <c r="C1" s="219"/>
      <c r="H1" s="219"/>
    </row>
    <row r="2" spans="1:11" ht="29.25">
      <c r="A2" s="221" t="s">
        <v>234</v>
      </c>
      <c r="B2" s="218" t="s">
        <v>235</v>
      </c>
      <c r="C2" s="218" t="s">
        <v>236</v>
      </c>
      <c r="D2" s="217" t="s">
        <v>237</v>
      </c>
      <c r="E2" s="217" t="s">
        <v>238</v>
      </c>
      <c r="F2" s="217" t="s">
        <v>239</v>
      </c>
      <c r="G2" s="217" t="s">
        <v>240</v>
      </c>
      <c r="H2" s="218" t="s">
        <v>241</v>
      </c>
      <c r="I2" s="217" t="s">
        <v>242</v>
      </c>
      <c r="J2" s="217" t="s">
        <v>243</v>
      </c>
      <c r="K2" t="s">
        <v>244</v>
      </c>
    </row>
    <row r="3" spans="1:11">
      <c r="A3" s="222">
        <v>39676498</v>
      </c>
      <c r="B3" s="219" t="s">
        <v>245</v>
      </c>
      <c r="C3" s="219" t="s">
        <v>246</v>
      </c>
      <c r="D3" t="s">
        <v>247</v>
      </c>
      <c r="E3" s="212">
        <v>45078</v>
      </c>
      <c r="F3" s="212">
        <v>45809</v>
      </c>
      <c r="G3" s="212">
        <v>45988</v>
      </c>
      <c r="H3" s="219" t="s">
        <v>248</v>
      </c>
      <c r="I3" t="s">
        <v>233</v>
      </c>
      <c r="J3" t="s">
        <v>249</v>
      </c>
      <c r="K3" t="s">
        <v>250</v>
      </c>
    </row>
    <row r="4" spans="1:11">
      <c r="A4" s="222">
        <v>1002525741</v>
      </c>
      <c r="B4" s="219" t="s">
        <v>251</v>
      </c>
      <c r="C4" s="219" t="s">
        <v>246</v>
      </c>
      <c r="D4" t="s">
        <v>247</v>
      </c>
      <c r="E4" s="212">
        <v>45078</v>
      </c>
      <c r="F4" s="212">
        <v>45444</v>
      </c>
      <c r="G4" s="212">
        <v>45808</v>
      </c>
      <c r="H4" s="219" t="s">
        <v>252</v>
      </c>
      <c r="I4" t="s">
        <v>233</v>
      </c>
      <c r="J4" t="s">
        <v>253</v>
      </c>
      <c r="K4" t="s">
        <v>250</v>
      </c>
    </row>
    <row r="5" spans="1:11">
      <c r="A5" s="222">
        <v>1002525741</v>
      </c>
      <c r="B5" s="219" t="s">
        <v>251</v>
      </c>
      <c r="C5" s="219" t="s">
        <v>246</v>
      </c>
      <c r="D5" t="s">
        <v>247</v>
      </c>
      <c r="E5" s="212">
        <v>45078</v>
      </c>
      <c r="F5" s="212">
        <v>45809</v>
      </c>
      <c r="G5" s="212">
        <v>45988</v>
      </c>
      <c r="H5" s="219" t="s">
        <v>248</v>
      </c>
      <c r="I5" t="s">
        <v>233</v>
      </c>
      <c r="J5" t="s">
        <v>233</v>
      </c>
      <c r="K5" t="s">
        <v>233</v>
      </c>
    </row>
    <row r="6" spans="1:11" ht="29.25">
      <c r="A6" s="222">
        <v>1003879814</v>
      </c>
      <c r="B6" s="219" t="s">
        <v>254</v>
      </c>
      <c r="C6" s="219" t="s">
        <v>246</v>
      </c>
      <c r="D6" t="s">
        <v>247</v>
      </c>
      <c r="E6" s="212">
        <v>45187</v>
      </c>
      <c r="F6" s="212">
        <v>45195</v>
      </c>
      <c r="G6" s="212">
        <v>45560</v>
      </c>
      <c r="H6" s="219" t="s">
        <v>255</v>
      </c>
      <c r="I6" t="s">
        <v>256</v>
      </c>
      <c r="J6" t="s">
        <v>145</v>
      </c>
      <c r="K6" t="s">
        <v>256</v>
      </c>
    </row>
    <row r="7" spans="1:11" ht="29.25">
      <c r="A7" s="222">
        <v>1003879814</v>
      </c>
      <c r="B7" s="219" t="s">
        <v>254</v>
      </c>
      <c r="C7" s="219" t="s">
        <v>246</v>
      </c>
      <c r="D7" t="s">
        <v>247</v>
      </c>
      <c r="E7" s="212">
        <v>45187</v>
      </c>
      <c r="F7" s="212">
        <v>45561</v>
      </c>
      <c r="G7" s="212">
        <v>45925</v>
      </c>
      <c r="H7" s="219" t="s">
        <v>252</v>
      </c>
      <c r="I7" t="s">
        <v>257</v>
      </c>
      <c r="J7" t="s">
        <v>258</v>
      </c>
      <c r="K7" t="s">
        <v>259</v>
      </c>
    </row>
    <row r="8" spans="1:11" ht="29.25">
      <c r="A8" s="222">
        <v>1003879814</v>
      </c>
      <c r="B8" s="219" t="s">
        <v>254</v>
      </c>
      <c r="C8" s="219" t="s">
        <v>246</v>
      </c>
      <c r="D8" t="s">
        <v>247</v>
      </c>
      <c r="E8" s="212">
        <v>45187</v>
      </c>
      <c r="F8" s="212">
        <v>45926</v>
      </c>
      <c r="G8" s="212">
        <v>45988</v>
      </c>
      <c r="H8" s="219" t="s">
        <v>260</v>
      </c>
      <c r="I8" t="s">
        <v>233</v>
      </c>
      <c r="J8" t="s">
        <v>233</v>
      </c>
      <c r="K8" t="s">
        <v>233</v>
      </c>
    </row>
    <row r="9" spans="1:11" ht="29.25">
      <c r="A9" s="222">
        <v>1013668682</v>
      </c>
      <c r="B9" s="219" t="s">
        <v>261</v>
      </c>
      <c r="C9" s="219" t="s">
        <v>262</v>
      </c>
      <c r="D9" t="s">
        <v>247</v>
      </c>
      <c r="E9" s="212">
        <v>44698</v>
      </c>
      <c r="F9" s="212">
        <v>45430</v>
      </c>
      <c r="G9" s="212">
        <v>45794</v>
      </c>
      <c r="H9" s="219" t="s">
        <v>252</v>
      </c>
      <c r="I9" t="s">
        <v>233</v>
      </c>
      <c r="J9" t="s">
        <v>263</v>
      </c>
      <c r="K9" t="s">
        <v>250</v>
      </c>
    </row>
    <row r="10" spans="1:11" ht="29.25">
      <c r="A10" s="222">
        <v>1013668682</v>
      </c>
      <c r="B10" s="219" t="s">
        <v>261</v>
      </c>
      <c r="C10" s="219" t="s">
        <v>264</v>
      </c>
      <c r="D10" t="s">
        <v>247</v>
      </c>
      <c r="E10" s="212">
        <v>44698</v>
      </c>
      <c r="F10" s="212">
        <v>45795</v>
      </c>
      <c r="G10" s="212">
        <v>45988</v>
      </c>
      <c r="H10" s="219" t="s">
        <v>265</v>
      </c>
      <c r="I10" t="s">
        <v>233</v>
      </c>
      <c r="J10" t="s">
        <v>233</v>
      </c>
      <c r="K10" t="s">
        <v>233</v>
      </c>
    </row>
    <row r="11" spans="1:11">
      <c r="A11" s="222">
        <v>1022353092</v>
      </c>
      <c r="B11" s="219" t="s">
        <v>266</v>
      </c>
      <c r="C11" s="219" t="s">
        <v>246</v>
      </c>
      <c r="D11" t="s">
        <v>247</v>
      </c>
      <c r="E11" s="212">
        <v>44963</v>
      </c>
      <c r="F11" s="212">
        <v>45694</v>
      </c>
      <c r="G11" s="212">
        <v>45988</v>
      </c>
      <c r="H11" s="219" t="s">
        <v>267</v>
      </c>
      <c r="I11" t="s">
        <v>233</v>
      </c>
      <c r="J11" t="s">
        <v>268</v>
      </c>
      <c r="K11" t="s">
        <v>250</v>
      </c>
    </row>
    <row r="12" spans="1:11" ht="29.25">
      <c r="A12" s="222">
        <v>1070987381</v>
      </c>
      <c r="B12" s="219" t="s">
        <v>269</v>
      </c>
      <c r="C12" s="219" t="s">
        <v>262</v>
      </c>
      <c r="D12" t="s">
        <v>247</v>
      </c>
      <c r="E12" s="212">
        <v>43040</v>
      </c>
      <c r="F12" s="212">
        <v>45618</v>
      </c>
      <c r="G12" s="212">
        <v>45982</v>
      </c>
      <c r="H12" s="219" t="s">
        <v>252</v>
      </c>
      <c r="I12" t="s">
        <v>233</v>
      </c>
      <c r="J12" t="s">
        <v>270</v>
      </c>
      <c r="K12" t="s">
        <v>271</v>
      </c>
    </row>
    <row r="13" spans="1:11" ht="29.25">
      <c r="A13" s="222">
        <v>1070987381</v>
      </c>
      <c r="B13" s="219" t="s">
        <v>269</v>
      </c>
      <c r="C13" s="219" t="s">
        <v>262</v>
      </c>
      <c r="D13" t="s">
        <v>247</v>
      </c>
      <c r="E13" s="212">
        <v>43040</v>
      </c>
      <c r="F13" s="212">
        <v>45983</v>
      </c>
      <c r="G13" s="212">
        <v>45988</v>
      </c>
      <c r="H13" s="219" t="s">
        <v>272</v>
      </c>
      <c r="I13" t="s">
        <v>233</v>
      </c>
      <c r="J13" t="s">
        <v>233</v>
      </c>
      <c r="K13" t="s">
        <v>233</v>
      </c>
    </row>
    <row r="14" spans="1:11">
      <c r="A14" s="222">
        <v>1072193327</v>
      </c>
      <c r="B14" s="219" t="s">
        <v>273</v>
      </c>
      <c r="C14" s="219" t="s">
        <v>246</v>
      </c>
      <c r="D14" t="s">
        <v>247</v>
      </c>
      <c r="E14" s="212">
        <v>45208</v>
      </c>
      <c r="F14" s="212">
        <v>45939</v>
      </c>
      <c r="G14" s="212">
        <v>45988</v>
      </c>
      <c r="H14" s="219" t="s">
        <v>274</v>
      </c>
      <c r="I14" t="s">
        <v>233</v>
      </c>
      <c r="J14" t="s">
        <v>275</v>
      </c>
      <c r="K14" t="s">
        <v>276</v>
      </c>
    </row>
    <row r="15" spans="1:11">
      <c r="A15" s="222">
        <v>1072746834</v>
      </c>
      <c r="B15" s="219" t="s">
        <v>277</v>
      </c>
      <c r="C15" s="219" t="s">
        <v>246</v>
      </c>
      <c r="D15" t="s">
        <v>247</v>
      </c>
      <c r="E15" s="212">
        <v>44461</v>
      </c>
      <c r="F15" s="212">
        <v>45557</v>
      </c>
      <c r="G15" s="212">
        <v>45921</v>
      </c>
      <c r="H15" s="219" t="s">
        <v>252</v>
      </c>
      <c r="I15" t="s">
        <v>278</v>
      </c>
      <c r="J15" t="s">
        <v>279</v>
      </c>
      <c r="K15" t="s">
        <v>278</v>
      </c>
    </row>
    <row r="16" spans="1:11">
      <c r="A16" s="222">
        <v>1072746834</v>
      </c>
      <c r="B16" s="219" t="s">
        <v>277</v>
      </c>
      <c r="C16" s="219" t="s">
        <v>246</v>
      </c>
      <c r="D16" t="s">
        <v>247</v>
      </c>
      <c r="E16" s="212">
        <v>44461</v>
      </c>
      <c r="F16" s="212">
        <v>45922</v>
      </c>
      <c r="G16" s="212">
        <v>45988</v>
      </c>
      <c r="H16" s="219" t="s">
        <v>280</v>
      </c>
      <c r="I16" t="s">
        <v>233</v>
      </c>
      <c r="J16" t="s">
        <v>233</v>
      </c>
      <c r="K16" t="s">
        <v>233</v>
      </c>
    </row>
    <row r="17" spans="1:8" ht="16.5">
      <c r="A17" s="220" t="s">
        <v>233</v>
      </c>
      <c r="B17" s="219"/>
      <c r="C17" s="219"/>
      <c r="H17" s="219"/>
    </row>
    <row r="18" spans="1:8" ht="16.5">
      <c r="A18" s="220" t="s">
        <v>233</v>
      </c>
      <c r="B18" s="219"/>
      <c r="C18" s="219"/>
      <c r="H18" s="219"/>
    </row>
    <row r="19" spans="1:8" ht="16.5">
      <c r="A19" s="220" t="s">
        <v>233</v>
      </c>
      <c r="B19" s="219"/>
      <c r="C19" s="219"/>
      <c r="H19" s="219"/>
    </row>
    <row r="20" spans="1:8" ht="16.5">
      <c r="A20" s="220" t="s">
        <v>233</v>
      </c>
      <c r="B20" s="219"/>
      <c r="C20" s="219"/>
      <c r="H20" s="21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C62C-F3C9-4A0C-BFC3-A4E4658436CB}">
  <dimension ref="B2:J30"/>
  <sheetViews>
    <sheetView showGridLines="0" workbookViewId="0">
      <selection activeCell="G19" sqref="G19"/>
    </sheetView>
  </sheetViews>
  <sheetFormatPr defaultRowHeight="15"/>
  <cols>
    <col min="2" max="2" width="37" bestFit="1" customWidth="1"/>
    <col min="3" max="3" width="15.42578125" bestFit="1" customWidth="1"/>
    <col min="4" max="4" width="11.5703125" bestFit="1" customWidth="1"/>
    <col min="5" max="5" width="12.42578125" bestFit="1" customWidth="1"/>
    <col min="6" max="6" width="13.5703125" customWidth="1"/>
    <col min="7" max="7" width="66" customWidth="1"/>
    <col min="10" max="10" width="37" customWidth="1"/>
  </cols>
  <sheetData>
    <row r="2" spans="2:10">
      <c r="B2" s="617" t="s">
        <v>281</v>
      </c>
      <c r="C2" s="618"/>
      <c r="D2" s="618"/>
      <c r="E2" s="618"/>
      <c r="F2" s="618"/>
      <c r="G2" s="619"/>
    </row>
    <row r="3" spans="2:10" ht="43.5">
      <c r="B3" s="348" t="s">
        <v>60</v>
      </c>
      <c r="C3" s="349" t="s">
        <v>210</v>
      </c>
      <c r="D3" s="349" t="s">
        <v>213</v>
      </c>
      <c r="E3" s="349" t="s">
        <v>214</v>
      </c>
      <c r="F3" s="349" t="s">
        <v>215</v>
      </c>
      <c r="G3" s="350" t="s">
        <v>282</v>
      </c>
    </row>
    <row r="4" spans="2:10">
      <c r="B4" s="608" t="s">
        <v>63</v>
      </c>
      <c r="C4" s="611">
        <v>45839</v>
      </c>
      <c r="D4" s="347"/>
      <c r="E4" s="337"/>
      <c r="F4" s="337"/>
      <c r="G4" s="338"/>
      <c r="J4" s="48" t="s">
        <v>63</v>
      </c>
    </row>
    <row r="5" spans="2:10">
      <c r="B5" s="609"/>
      <c r="C5" s="600"/>
      <c r="D5" s="333"/>
      <c r="E5" s="333"/>
      <c r="F5" s="333"/>
      <c r="G5" s="334"/>
      <c r="J5" s="48" t="s">
        <v>66</v>
      </c>
    </row>
    <row r="6" spans="2:10">
      <c r="B6" s="614"/>
      <c r="C6" s="601"/>
      <c r="D6" s="339"/>
      <c r="E6" s="339"/>
      <c r="F6" s="339"/>
      <c r="G6" s="345"/>
      <c r="J6" s="48" t="s">
        <v>74</v>
      </c>
    </row>
    <row r="7" spans="2:10" ht="15.75">
      <c r="B7" s="608" t="s">
        <v>64</v>
      </c>
      <c r="C7" s="611">
        <v>46174</v>
      </c>
      <c r="D7" s="351"/>
      <c r="E7" s="352"/>
      <c r="F7" s="352"/>
      <c r="G7" s="338"/>
      <c r="J7" s="48" t="s">
        <v>64</v>
      </c>
    </row>
    <row r="8" spans="2:10">
      <c r="B8" s="609"/>
      <c r="C8" s="599"/>
      <c r="D8" s="332"/>
      <c r="E8" s="333"/>
      <c r="F8" s="333"/>
      <c r="G8" s="334"/>
      <c r="J8" s="48" t="s">
        <v>14</v>
      </c>
    </row>
    <row r="9" spans="2:10">
      <c r="B9" s="610"/>
      <c r="C9" s="612"/>
      <c r="D9" s="342"/>
      <c r="E9" s="342"/>
      <c r="F9" s="342"/>
      <c r="G9" s="336"/>
      <c r="J9" s="48" t="s">
        <v>68</v>
      </c>
    </row>
    <row r="10" spans="2:10">
      <c r="B10" s="613" t="s">
        <v>68</v>
      </c>
      <c r="C10" s="605">
        <v>45731</v>
      </c>
      <c r="D10" s="340"/>
      <c r="E10" s="340"/>
      <c r="F10" s="340"/>
      <c r="G10" s="341"/>
    </row>
    <row r="11" spans="2:10">
      <c r="B11" s="609"/>
      <c r="C11" s="600"/>
      <c r="D11" s="332"/>
      <c r="E11" s="333"/>
      <c r="F11" s="333"/>
      <c r="G11" s="334"/>
    </row>
    <row r="12" spans="2:10">
      <c r="B12" s="610"/>
      <c r="C12" s="616"/>
      <c r="D12" s="342"/>
      <c r="E12" s="342"/>
      <c r="F12" s="342"/>
      <c r="G12" s="344"/>
    </row>
    <row r="13" spans="2:10">
      <c r="B13" s="613" t="s">
        <v>70</v>
      </c>
      <c r="C13" s="605">
        <v>45939</v>
      </c>
      <c r="D13" s="340"/>
      <c r="E13" s="340"/>
      <c r="F13" s="340"/>
      <c r="G13" s="346"/>
    </row>
    <row r="14" spans="2:10">
      <c r="B14" s="609"/>
      <c r="C14" s="600"/>
      <c r="D14" s="332"/>
      <c r="E14" s="333"/>
      <c r="F14" s="333"/>
      <c r="G14" s="334"/>
    </row>
    <row r="15" spans="2:10">
      <c r="B15" s="610"/>
      <c r="C15" s="616"/>
      <c r="D15" s="335"/>
      <c r="E15" s="342"/>
      <c r="F15" s="342"/>
      <c r="G15" s="343"/>
    </row>
    <row r="16" spans="2:10">
      <c r="B16" s="613" t="s">
        <v>71</v>
      </c>
      <c r="C16" s="605">
        <v>45803</v>
      </c>
      <c r="D16" s="340"/>
      <c r="E16" s="340"/>
      <c r="F16" s="340"/>
      <c r="G16" s="341" t="s">
        <v>283</v>
      </c>
    </row>
    <row r="17" spans="2:7">
      <c r="B17" s="609"/>
      <c r="C17" s="600"/>
      <c r="D17" s="332"/>
      <c r="E17" s="333"/>
      <c r="F17" s="333"/>
      <c r="G17" s="334" t="s">
        <v>284</v>
      </c>
    </row>
    <row r="18" spans="2:7">
      <c r="B18" s="614"/>
      <c r="C18" s="601"/>
      <c r="D18" s="339"/>
      <c r="E18" s="339"/>
      <c r="F18" s="339"/>
      <c r="G18" s="353"/>
    </row>
    <row r="19" spans="2:7">
      <c r="B19" s="608" t="s">
        <v>74</v>
      </c>
      <c r="C19" s="615"/>
      <c r="D19" s="337"/>
      <c r="E19" s="337"/>
      <c r="F19" s="337"/>
      <c r="G19" s="338"/>
    </row>
    <row r="20" spans="2:7">
      <c r="B20" s="609"/>
      <c r="C20" s="599"/>
      <c r="D20" s="332"/>
      <c r="E20" s="333"/>
      <c r="F20" s="333"/>
      <c r="G20" s="334"/>
    </row>
    <row r="21" spans="2:7">
      <c r="B21" s="614"/>
      <c r="C21" s="603"/>
      <c r="D21" s="339"/>
      <c r="E21" s="339"/>
      <c r="F21" s="339"/>
      <c r="G21" s="345"/>
    </row>
    <row r="22" spans="2:7">
      <c r="B22" s="608" t="s">
        <v>14</v>
      </c>
      <c r="C22" s="611">
        <v>45983</v>
      </c>
      <c r="D22" s="337"/>
      <c r="E22" s="337"/>
      <c r="F22" s="337"/>
      <c r="G22" s="338"/>
    </row>
    <row r="23" spans="2:7">
      <c r="B23" s="609"/>
      <c r="C23" s="600"/>
      <c r="D23" s="333"/>
      <c r="E23" s="333"/>
      <c r="F23" s="333"/>
      <c r="G23" s="334"/>
    </row>
    <row r="24" spans="2:7">
      <c r="B24" s="614"/>
      <c r="C24" s="601"/>
      <c r="D24" s="339"/>
      <c r="E24" s="339"/>
      <c r="F24" s="339"/>
      <c r="G24" s="345"/>
    </row>
    <row r="25" spans="2:7">
      <c r="B25" s="608" t="s">
        <v>92</v>
      </c>
      <c r="C25" s="611">
        <v>46256</v>
      </c>
      <c r="D25" s="337"/>
      <c r="E25" s="337"/>
      <c r="F25" s="337"/>
      <c r="G25" s="338"/>
    </row>
    <row r="26" spans="2:7">
      <c r="B26" s="609"/>
      <c r="C26" s="599"/>
      <c r="D26" s="332"/>
      <c r="E26" s="333"/>
      <c r="F26" s="333"/>
      <c r="G26" s="334"/>
    </row>
    <row r="27" spans="2:7">
      <c r="B27" s="610"/>
      <c r="C27" s="612"/>
      <c r="D27" s="335"/>
      <c r="E27" s="335"/>
      <c r="F27" s="335"/>
      <c r="G27" s="336"/>
    </row>
    <row r="28" spans="2:7">
      <c r="B28" s="613" t="s">
        <v>133</v>
      </c>
      <c r="C28" s="605">
        <v>46114</v>
      </c>
      <c r="D28" s="340"/>
      <c r="E28" s="340"/>
      <c r="F28" s="340"/>
      <c r="G28" s="341"/>
    </row>
    <row r="29" spans="2:7">
      <c r="B29" s="609"/>
      <c r="C29" s="599"/>
      <c r="D29" s="332"/>
      <c r="E29" s="333"/>
      <c r="F29" s="333"/>
      <c r="G29" s="334"/>
    </row>
    <row r="30" spans="2:7">
      <c r="B30" s="610"/>
      <c r="C30" s="612"/>
      <c r="D30" s="335"/>
      <c r="E30" s="335"/>
      <c r="F30" s="335"/>
      <c r="G30" s="336"/>
    </row>
  </sheetData>
  <mergeCells count="19">
    <mergeCell ref="B2:G2"/>
    <mergeCell ref="B4:B6"/>
    <mergeCell ref="C4:C6"/>
    <mergeCell ref="B7:B9"/>
    <mergeCell ref="C7:C9"/>
    <mergeCell ref="B13:B15"/>
    <mergeCell ref="C13:C15"/>
    <mergeCell ref="B16:B18"/>
    <mergeCell ref="C16:C18"/>
    <mergeCell ref="B10:B12"/>
    <mergeCell ref="C10:C12"/>
    <mergeCell ref="B25:B27"/>
    <mergeCell ref="C25:C27"/>
    <mergeCell ref="B28:B30"/>
    <mergeCell ref="C28:C30"/>
    <mergeCell ref="B19:B21"/>
    <mergeCell ref="C19:C21"/>
    <mergeCell ref="B22:B24"/>
    <mergeCell ref="C22:C24"/>
  </mergeCells>
  <dataValidations count="1">
    <dataValidation type="list" allowBlank="1" showInputMessage="1" showErrorMessage="1" sqref="B4 B22 B19 B16 B13 B10 B7" xr:uid="{D2AFC423-705D-4670-930A-4000A1821340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83441466536C4E90AC8AB31611EEE1" ma:contentTypeVersion="15" ma:contentTypeDescription="Crear nuevo documento." ma:contentTypeScope="" ma:versionID="203a43d5b04f077b21f15ad33f7368ad">
  <xsd:schema xmlns:xsd="http://www.w3.org/2001/XMLSchema" xmlns:xs="http://www.w3.org/2001/XMLSchema" xmlns:p="http://schemas.microsoft.com/office/2006/metadata/properties" xmlns:ns3="66812d79-cdaf-49e9-9a40-97a9c04b6469" xmlns:ns4="f23aeee0-7036-4ed6-8c8c-fdc3d851b581" targetNamespace="http://schemas.microsoft.com/office/2006/metadata/properties" ma:root="true" ma:fieldsID="8156dc9f50d641dd1dc983a15cbe4c1a" ns3:_="" ns4:_="">
    <xsd:import namespace="66812d79-cdaf-49e9-9a40-97a9c04b6469"/>
    <xsd:import namespace="f23aeee0-7036-4ed6-8c8c-fdc3d851b5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12d79-cdaf-49e9-9a40-97a9c04b6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3aeee0-7036-4ed6-8c8c-fdc3d851b58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812d79-cdaf-49e9-9a40-97a9c04b6469" xsi:nil="true"/>
  </documentManagement>
</p:properties>
</file>

<file path=customXml/itemProps1.xml><?xml version="1.0" encoding="utf-8"?>
<ds:datastoreItem xmlns:ds="http://schemas.openxmlformats.org/officeDocument/2006/customXml" ds:itemID="{69F20C96-73F3-4EA3-8B2C-D4B3733C6450}"/>
</file>

<file path=customXml/itemProps2.xml><?xml version="1.0" encoding="utf-8"?>
<ds:datastoreItem xmlns:ds="http://schemas.openxmlformats.org/officeDocument/2006/customXml" ds:itemID="{7A368833-051D-460C-9101-961435EF9AD9}"/>
</file>

<file path=customXml/itemProps3.xml><?xml version="1.0" encoding="utf-8"?>
<ds:datastoreItem xmlns:ds="http://schemas.openxmlformats.org/officeDocument/2006/customXml" ds:itemID="{EC53F26E-D09F-4BC4-B5ED-79A66BC04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Liseth Dayana Torres Caro</dc:creator>
  <cp:keywords/>
  <dc:description/>
  <cp:lastModifiedBy/>
  <cp:revision/>
  <dcterms:created xsi:type="dcterms:W3CDTF">2025-12-29T15:45:24Z</dcterms:created>
  <dcterms:modified xsi:type="dcterms:W3CDTF">2026-08-31T17:43:31Z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0x0101005B83441466536C4E90AC8AB31611EEE1</vt:lpwstr>
  </property>
</Properties>
</file>