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namedSheetViews/namedSheetView1.xml" ContentType="application/vnd.ms-excel.namedsheetview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centercolombia-my.sharepoint.com/personal/oscar_acuna_dcsas_com_co1/Documents/Descargas/"/>
    </mc:Choice>
  </mc:AlternateContent>
  <xr:revisionPtr revIDLastSave="4" documentId="8_{21A15C4E-6920-4536-9415-F0CA61FCF1BE}" xr6:coauthVersionLast="47" xr6:coauthVersionMax="47" xr10:uidLastSave="{3337E9E5-5750-4036-8282-2B3EE4886803}"/>
  <bookViews>
    <workbookView xWindow="14290" yWindow="-1080" windowWidth="19420" windowHeight="10300" xr2:uid="{C45DDA3B-EED2-4534-A764-036D236A7517}"/>
  </bookViews>
  <sheets>
    <sheet name="Agosto" sheetId="1" r:id="rId1"/>
    <sheet name="Datos" sheetId="2" r:id="rId2"/>
  </sheets>
  <externalReferences>
    <externalReference r:id="rId3"/>
    <externalReference r:id="rId4"/>
    <externalReference r:id="rId5"/>
  </externalReferences>
  <definedNames>
    <definedName name="_xlnm._FilterDatabase" localSheetId="0" hidden="1">Agosto!$A$1:$BQ$30</definedName>
    <definedName name="ALMUERZO" localSheetId="0">[1]Datos!$E$2:$E$7</definedName>
    <definedName name="ALMUERZO">Datos!$E$2:$E$7</definedName>
    <definedName name="BREAK" localSheetId="0">[1]Datos!$D$2:$D$21</definedName>
    <definedName name="BREAK">Datos!$D$2:$D$21</definedName>
    <definedName name="TURNOS">Datos!$A$2:$A$21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I30" i="1" l="1"/>
  <c r="P30" i="1"/>
  <c r="AZ29" i="1"/>
  <c r="AW29" i="1"/>
  <c r="AU29" i="1"/>
  <c r="AT29" i="1"/>
  <c r="AS29" i="1"/>
  <c r="AR29" i="1"/>
  <c r="AQ29" i="1"/>
  <c r="AP29" i="1"/>
  <c r="AM29" i="1"/>
  <c r="AK29" i="1"/>
  <c r="AJ29" i="1"/>
  <c r="AI29" i="1"/>
  <c r="AH29" i="1"/>
  <c r="AG29" i="1"/>
  <c r="AD29" i="1"/>
  <c r="AB29" i="1"/>
  <c r="Z29" i="1"/>
  <c r="Y29" i="1"/>
  <c r="X29" i="1"/>
  <c r="W29" i="1"/>
  <c r="V29" i="1"/>
  <c r="U29" i="1"/>
  <c r="R29" i="1"/>
  <c r="P29" i="1"/>
  <c r="O29" i="1"/>
  <c r="M29" i="1"/>
  <c r="L29" i="1"/>
  <c r="K29" i="1"/>
  <c r="J29" i="1"/>
  <c r="G29" i="1"/>
  <c r="E29" i="1"/>
  <c r="AZ28" i="1"/>
  <c r="AW28" i="1"/>
  <c r="AU28" i="1"/>
  <c r="AT28" i="1"/>
  <c r="AS28" i="1"/>
  <c r="AR28" i="1"/>
  <c r="AQ28" i="1"/>
  <c r="AP28" i="1"/>
  <c r="AM28" i="1"/>
  <c r="AK28" i="1"/>
  <c r="AJ28" i="1"/>
  <c r="AI28" i="1"/>
  <c r="AH28" i="1"/>
  <c r="AG28" i="1"/>
  <c r="AD28" i="1"/>
  <c r="AB28" i="1"/>
  <c r="Z28" i="1"/>
  <c r="Y28" i="1"/>
  <c r="X28" i="1"/>
  <c r="W28" i="1"/>
  <c r="V28" i="1"/>
  <c r="U28" i="1"/>
  <c r="R28" i="1"/>
  <c r="P28" i="1"/>
  <c r="O28" i="1"/>
  <c r="M28" i="1"/>
  <c r="L28" i="1"/>
  <c r="K28" i="1"/>
  <c r="J28" i="1"/>
  <c r="G28" i="1"/>
  <c r="E28" i="1"/>
  <c r="AZ27" i="1"/>
  <c r="AZ30" i="1" s="1"/>
  <c r="AW27" i="1"/>
  <c r="AW30" i="1" s="1"/>
  <c r="AU27" i="1"/>
  <c r="AU30" i="1" s="1"/>
  <c r="AT27" i="1"/>
  <c r="AT30" i="1" s="1"/>
  <c r="AS27" i="1"/>
  <c r="AS30" i="1" s="1"/>
  <c r="AR27" i="1"/>
  <c r="AR30" i="1" s="1"/>
  <c r="AQ27" i="1"/>
  <c r="AQ30" i="1" s="1"/>
  <c r="AP27" i="1"/>
  <c r="AP30" i="1" s="1"/>
  <c r="AM27" i="1"/>
  <c r="AM30" i="1" s="1"/>
  <c r="AK27" i="1"/>
  <c r="AK30" i="1" s="1"/>
  <c r="AJ27" i="1"/>
  <c r="AJ30" i="1" s="1"/>
  <c r="AI27" i="1"/>
  <c r="AH27" i="1"/>
  <c r="AH30" i="1" s="1"/>
  <c r="AG27" i="1"/>
  <c r="AG30" i="1" s="1"/>
  <c r="AD27" i="1"/>
  <c r="AD30" i="1" s="1"/>
  <c r="AB27" i="1"/>
  <c r="AB30" i="1" s="1"/>
  <c r="Z27" i="1"/>
  <c r="Z30" i="1" s="1"/>
  <c r="Y27" i="1"/>
  <c r="Y30" i="1" s="1"/>
  <c r="X27" i="1"/>
  <c r="X30" i="1" s="1"/>
  <c r="W27" i="1"/>
  <c r="W30" i="1" s="1"/>
  <c r="V27" i="1"/>
  <c r="V30" i="1" s="1"/>
  <c r="U27" i="1"/>
  <c r="U30" i="1" s="1"/>
  <c r="R27" i="1"/>
  <c r="R30" i="1" s="1"/>
  <c r="P27" i="1"/>
  <c r="O27" i="1"/>
  <c r="O30" i="1" s="1"/>
  <c r="M27" i="1"/>
  <c r="M30" i="1" s="1"/>
  <c r="L27" i="1"/>
  <c r="L30" i="1" s="1"/>
  <c r="K27" i="1"/>
  <c r="K30" i="1" s="1"/>
  <c r="J27" i="1"/>
  <c r="J30" i="1" s="1"/>
  <c r="G27" i="1"/>
  <c r="G30" i="1" s="1"/>
  <c r="E27" i="1"/>
  <c r="E30" i="1" s="1"/>
  <c r="BO26" i="1" a="1"/>
  <c r="BO26" i="1" s="1"/>
  <c r="BQ26" i="1" s="1"/>
  <c r="BN26" i="1" a="1"/>
  <c r="BN26" i="1" s="1"/>
  <c r="BP26" i="1" s="1"/>
  <c r="BK26" i="1" a="1"/>
  <c r="BK26" i="1" s="1"/>
  <c r="BM26" i="1" s="1"/>
  <c r="BJ26" i="1" a="1"/>
  <c r="BJ26" i="1" s="1"/>
  <c r="BL26" i="1" s="1"/>
  <c r="BI26" i="1" a="1"/>
  <c r="BI26" i="1" s="1"/>
  <c r="BH26" i="1" a="1"/>
  <c r="BH26" i="1" s="1"/>
  <c r="BG26" i="1"/>
  <c r="BF26" i="1"/>
  <c r="BE26" i="1"/>
  <c r="BD26" i="1"/>
  <c r="BC26" i="1" a="1"/>
  <c r="BC26" i="1" s="1"/>
  <c r="BB26" i="1"/>
  <c r="BA26" i="1"/>
  <c r="BA26" i="1" a="1"/>
  <c r="BO25" i="1"/>
  <c r="BQ25" i="1" s="1"/>
  <c r="BO25" i="1" a="1"/>
  <c r="BN25" i="1" a="1"/>
  <c r="BN25" i="1" s="1"/>
  <c r="BP25" i="1" s="1"/>
  <c r="BK25" i="1" a="1"/>
  <c r="BK25" i="1" s="1"/>
  <c r="BM25" i="1" s="1"/>
  <c r="BJ25" i="1" a="1"/>
  <c r="BJ25" i="1" s="1"/>
  <c r="BL25" i="1" s="1"/>
  <c r="BI25" i="1" a="1"/>
  <c r="BI25" i="1" s="1"/>
  <c r="BH25" i="1"/>
  <c r="BH25" i="1" a="1"/>
  <c r="BG25" i="1"/>
  <c r="BF25" i="1"/>
  <c r="BE25" i="1"/>
  <c r="BD25" i="1"/>
  <c r="BC25" i="1"/>
  <c r="BC25" i="1" a="1"/>
  <c r="BB25" i="1"/>
  <c r="BA25" i="1"/>
  <c r="BA25" i="1" a="1"/>
  <c r="BQ24" i="1"/>
  <c r="BP24" i="1"/>
  <c r="BO24" i="1"/>
  <c r="BO24" i="1" a="1"/>
  <c r="BN24" i="1"/>
  <c r="BN24" i="1" a="1"/>
  <c r="BK24" i="1" a="1"/>
  <c r="BK24" i="1" s="1"/>
  <c r="BM24" i="1" s="1"/>
  <c r="BJ24" i="1" a="1"/>
  <c r="BJ24" i="1" s="1"/>
  <c r="BL24" i="1" s="1"/>
  <c r="BI24" i="1" a="1"/>
  <c r="BI24" i="1" s="1"/>
  <c r="BH24" i="1" a="1"/>
  <c r="BH24" i="1" s="1"/>
  <c r="BG24" i="1"/>
  <c r="BF24" i="1"/>
  <c r="BE24" i="1"/>
  <c r="BD24" i="1"/>
  <c r="BC24" i="1" a="1"/>
  <c r="BC24" i="1" s="1"/>
  <c r="BB24" i="1"/>
  <c r="BA24" i="1" a="1"/>
  <c r="BA24" i="1" s="1"/>
  <c r="BQ23" i="1"/>
  <c r="BO23" i="1"/>
  <c r="BO23" i="1" a="1"/>
  <c r="BN23" i="1" a="1"/>
  <c r="BN23" i="1" s="1"/>
  <c r="BP23" i="1" s="1"/>
  <c r="BK23" i="1"/>
  <c r="BM23" i="1" s="1"/>
  <c r="BK23" i="1" a="1"/>
  <c r="BJ23" i="1" a="1"/>
  <c r="BJ23" i="1" s="1"/>
  <c r="BL23" i="1" s="1"/>
  <c r="BI23" i="1"/>
  <c r="BI23" i="1" a="1"/>
  <c r="BH23" i="1"/>
  <c r="BH23" i="1" a="1"/>
  <c r="BG23" i="1"/>
  <c r="BF23" i="1"/>
  <c r="BE23" i="1"/>
  <c r="BD23" i="1"/>
  <c r="BC23" i="1" a="1"/>
  <c r="BC23" i="1" s="1"/>
  <c r="BB23" i="1"/>
  <c r="BA23" i="1" a="1"/>
  <c r="BA23" i="1" s="1"/>
  <c r="BP22" i="1"/>
  <c r="BO22" i="1"/>
  <c r="BQ22" i="1" s="1"/>
  <c r="BO22" i="1" a="1"/>
  <c r="BN22" i="1"/>
  <c r="BN22" i="1" a="1"/>
  <c r="BK22" i="1" a="1"/>
  <c r="BK22" i="1" s="1"/>
  <c r="BM22" i="1" s="1"/>
  <c r="BJ22" i="1" a="1"/>
  <c r="BJ22" i="1" s="1"/>
  <c r="BL22" i="1" s="1"/>
  <c r="BI22" i="1" a="1"/>
  <c r="BI22" i="1" s="1"/>
  <c r="BH22" i="1"/>
  <c r="BH22" i="1" a="1"/>
  <c r="BG22" i="1"/>
  <c r="BF22" i="1"/>
  <c r="BE22" i="1"/>
  <c r="BD22" i="1"/>
  <c r="BC22" i="1" a="1"/>
  <c r="BC22" i="1" s="1"/>
  <c r="BB22" i="1"/>
  <c r="BA22" i="1"/>
  <c r="BA22" i="1" a="1"/>
  <c r="BQ21" i="1"/>
  <c r="BP21" i="1"/>
  <c r="BO21" i="1"/>
  <c r="BO21" i="1" a="1"/>
  <c r="BN21" i="1"/>
  <c r="BN21" i="1" a="1"/>
  <c r="BK21" i="1" a="1"/>
  <c r="BK21" i="1" s="1"/>
  <c r="BM21" i="1" s="1"/>
  <c r="BJ21" i="1" a="1"/>
  <c r="BJ21" i="1" s="1"/>
  <c r="BL21" i="1" s="1"/>
  <c r="BI21" i="1"/>
  <c r="BI21" i="1" a="1"/>
  <c r="BH21" i="1" a="1"/>
  <c r="BH21" i="1" s="1"/>
  <c r="BG21" i="1"/>
  <c r="BF21" i="1"/>
  <c r="BE21" i="1"/>
  <c r="BD21" i="1"/>
  <c r="BC21" i="1" a="1"/>
  <c r="BC21" i="1" s="1"/>
  <c r="BB21" i="1"/>
  <c r="BA21" i="1" a="1"/>
  <c r="BA21" i="1" s="1"/>
  <c r="BQ20" i="1"/>
  <c r="BO20" i="1"/>
  <c r="BO20" i="1" a="1"/>
  <c r="BN20" i="1" a="1"/>
  <c r="BN20" i="1" s="1"/>
  <c r="BP20" i="1" s="1"/>
  <c r="BK20" i="1" a="1"/>
  <c r="BK20" i="1" s="1"/>
  <c r="BM20" i="1" s="1"/>
  <c r="BJ20" i="1" a="1"/>
  <c r="BJ20" i="1" s="1"/>
  <c r="BL20" i="1" s="1"/>
  <c r="BI20" i="1"/>
  <c r="BI20" i="1" a="1"/>
  <c r="BH20" i="1"/>
  <c r="BH20" i="1" a="1"/>
  <c r="BG20" i="1"/>
  <c r="BF20" i="1"/>
  <c r="BE20" i="1"/>
  <c r="BD20" i="1"/>
  <c r="BC20" i="1" a="1"/>
  <c r="BC20" i="1" s="1"/>
  <c r="BB20" i="1"/>
  <c r="BA20" i="1"/>
  <c r="BA20" i="1" a="1"/>
  <c r="BP19" i="1"/>
  <c r="BO19" i="1"/>
  <c r="BQ19" i="1" s="1"/>
  <c r="BO19" i="1" a="1"/>
  <c r="BN19" i="1"/>
  <c r="BN19" i="1" a="1"/>
  <c r="BK19" i="1"/>
  <c r="BM19" i="1" s="1"/>
  <c r="BK19" i="1" a="1"/>
  <c r="BJ19" i="1" a="1"/>
  <c r="BJ19" i="1" s="1"/>
  <c r="BL19" i="1" s="1"/>
  <c r="BI19" i="1" a="1"/>
  <c r="BI19" i="1" s="1"/>
  <c r="BH19" i="1"/>
  <c r="BH19" i="1" a="1"/>
  <c r="BG19" i="1"/>
  <c r="BF19" i="1"/>
  <c r="BE19" i="1"/>
  <c r="BD19" i="1"/>
  <c r="BC19" i="1"/>
  <c r="BC19" i="1" a="1"/>
  <c r="BB19" i="1"/>
  <c r="BA19" i="1"/>
  <c r="BA19" i="1" a="1"/>
  <c r="BQ18" i="1"/>
  <c r="BO18" i="1"/>
  <c r="BO18" i="1" a="1"/>
  <c r="BN18" i="1" a="1"/>
  <c r="BN18" i="1" s="1"/>
  <c r="BP18" i="1" s="1"/>
  <c r="BK18" i="1" a="1"/>
  <c r="BK18" i="1" s="1"/>
  <c r="BM18" i="1" s="1"/>
  <c r="BJ18" i="1" a="1"/>
  <c r="BJ18" i="1" s="1"/>
  <c r="BL18" i="1" s="1"/>
  <c r="BI18" i="1"/>
  <c r="BI18" i="1" a="1"/>
  <c r="BH18" i="1" a="1"/>
  <c r="BH18" i="1" s="1"/>
  <c r="BG18" i="1"/>
  <c r="BF18" i="1"/>
  <c r="BE18" i="1"/>
  <c r="BD18" i="1"/>
  <c r="BC18" i="1" a="1"/>
  <c r="BC18" i="1" s="1"/>
  <c r="BB18" i="1"/>
  <c r="BA18" i="1" a="1"/>
  <c r="BA18" i="1" s="1"/>
  <c r="BQ17" i="1"/>
  <c r="BO17" i="1"/>
  <c r="BO17" i="1" a="1"/>
  <c r="BN17" i="1" a="1"/>
  <c r="BN17" i="1" s="1"/>
  <c r="BP17" i="1" s="1"/>
  <c r="BK17" i="1" a="1"/>
  <c r="BK17" i="1" s="1"/>
  <c r="BM17" i="1" s="1"/>
  <c r="BJ17" i="1" a="1"/>
  <c r="BJ17" i="1" s="1"/>
  <c r="BL17" i="1" s="1"/>
  <c r="BI17" i="1"/>
  <c r="BI17" i="1" a="1"/>
  <c r="BH17" i="1" a="1"/>
  <c r="BH17" i="1" s="1"/>
  <c r="BG17" i="1"/>
  <c r="BF17" i="1"/>
  <c r="BE17" i="1"/>
  <c r="BD17" i="1"/>
  <c r="BC17" i="1" a="1"/>
  <c r="BC17" i="1" s="1"/>
  <c r="BB17" i="1"/>
  <c r="BA17" i="1"/>
  <c r="BA17" i="1" a="1"/>
  <c r="BO16" i="1"/>
  <c r="BQ16" i="1" s="1"/>
  <c r="BO16" i="1" a="1"/>
  <c r="BN16" i="1" a="1"/>
  <c r="BN16" i="1" s="1"/>
  <c r="BP16" i="1" s="1"/>
  <c r="BK16" i="1" a="1"/>
  <c r="BK16" i="1" s="1"/>
  <c r="BM16" i="1" s="1"/>
  <c r="BJ16" i="1" a="1"/>
  <c r="BJ16" i="1" s="1"/>
  <c r="BL16" i="1" s="1"/>
  <c r="BI16" i="1" a="1"/>
  <c r="BI16" i="1" s="1"/>
  <c r="BH16" i="1" a="1"/>
  <c r="BH16" i="1" s="1"/>
  <c r="BG16" i="1"/>
  <c r="BF16" i="1"/>
  <c r="BE16" i="1"/>
  <c r="BD16" i="1"/>
  <c r="BC16" i="1"/>
  <c r="BC16" i="1" a="1"/>
  <c r="BB16" i="1"/>
  <c r="BA16" i="1"/>
  <c r="BA16" i="1" a="1"/>
  <c r="BO15" i="1" a="1"/>
  <c r="BO15" i="1" s="1"/>
  <c r="BQ15" i="1" s="1"/>
  <c r="BN15" i="1"/>
  <c r="BP15" i="1" s="1"/>
  <c r="BN15" i="1" a="1"/>
  <c r="BK15" i="1" a="1"/>
  <c r="BK15" i="1" s="1"/>
  <c r="BM15" i="1" s="1"/>
  <c r="BJ15" i="1" a="1"/>
  <c r="BJ15" i="1" s="1"/>
  <c r="BL15" i="1" s="1"/>
  <c r="BI15" i="1" a="1"/>
  <c r="BI15" i="1" s="1"/>
  <c r="BH15" i="1" a="1"/>
  <c r="BH15" i="1" s="1"/>
  <c r="BG15" i="1"/>
  <c r="BF15" i="1"/>
  <c r="BE15" i="1"/>
  <c r="BD15" i="1"/>
  <c r="BC15" i="1" a="1"/>
  <c r="BC15" i="1" s="1"/>
  <c r="BB15" i="1"/>
  <c r="BA15" i="1" a="1"/>
  <c r="BA15" i="1" s="1"/>
  <c r="BO14" i="1" a="1"/>
  <c r="BO14" i="1" s="1"/>
  <c r="BQ14" i="1" s="1"/>
  <c r="BN14" i="1" a="1"/>
  <c r="BN14" i="1" s="1"/>
  <c r="BP14" i="1" s="1"/>
  <c r="BK14" i="1" a="1"/>
  <c r="BK14" i="1" s="1"/>
  <c r="BM14" i="1" s="1"/>
  <c r="BJ14" i="1" a="1"/>
  <c r="BJ14" i="1" s="1"/>
  <c r="BL14" i="1" s="1"/>
  <c r="BI14" i="1" a="1"/>
  <c r="BI14" i="1" s="1"/>
  <c r="BH14" i="1" a="1"/>
  <c r="BH14" i="1" s="1"/>
  <c r="BG14" i="1"/>
  <c r="BF14" i="1"/>
  <c r="BE14" i="1"/>
  <c r="BD14" i="1"/>
  <c r="BC14" i="1" a="1"/>
  <c r="BC14" i="1" s="1"/>
  <c r="BB14" i="1"/>
  <c r="BA14" i="1"/>
  <c r="BA14" i="1" a="1"/>
  <c r="BO13" i="1"/>
  <c r="BQ13" i="1" s="1"/>
  <c r="BO13" i="1" a="1"/>
  <c r="BN13" i="1" a="1"/>
  <c r="BN13" i="1" s="1"/>
  <c r="BP13" i="1" s="1"/>
  <c r="BK13" i="1" a="1"/>
  <c r="BK13" i="1" s="1"/>
  <c r="BM13" i="1" s="1"/>
  <c r="BJ13" i="1" a="1"/>
  <c r="BJ13" i="1" s="1"/>
  <c r="BL13" i="1" s="1"/>
  <c r="BI13" i="1" a="1"/>
  <c r="BI13" i="1" s="1"/>
  <c r="BH13" i="1"/>
  <c r="BH13" i="1" a="1"/>
  <c r="BG13" i="1"/>
  <c r="BF13" i="1"/>
  <c r="BE13" i="1"/>
  <c r="BD13" i="1"/>
  <c r="BC13" i="1"/>
  <c r="BC13" i="1" a="1"/>
  <c r="BB13" i="1"/>
  <c r="BA13" i="1"/>
  <c r="BA13" i="1" a="1"/>
  <c r="BQ12" i="1"/>
  <c r="BP12" i="1"/>
  <c r="BO12" i="1"/>
  <c r="BO12" i="1" a="1"/>
  <c r="BN12" i="1"/>
  <c r="BN12" i="1" a="1"/>
  <c r="BK12" i="1" a="1"/>
  <c r="BK12" i="1" s="1"/>
  <c r="BM12" i="1" s="1"/>
  <c r="BJ12" i="1" a="1"/>
  <c r="BJ12" i="1" s="1"/>
  <c r="BL12" i="1" s="1"/>
  <c r="BI12" i="1" a="1"/>
  <c r="BI12" i="1" s="1"/>
  <c r="BH12" i="1" a="1"/>
  <c r="BH12" i="1" s="1"/>
  <c r="BG12" i="1"/>
  <c r="BF12" i="1"/>
  <c r="BE12" i="1"/>
  <c r="BD12" i="1"/>
  <c r="BC12" i="1" a="1"/>
  <c r="BC12" i="1" s="1"/>
  <c r="BB12" i="1"/>
  <c r="BA12" i="1" a="1"/>
  <c r="BA12" i="1" s="1"/>
  <c r="BQ11" i="1"/>
  <c r="BO11" i="1"/>
  <c r="BO11" i="1" a="1"/>
  <c r="BN11" i="1" a="1"/>
  <c r="BN11" i="1" s="1"/>
  <c r="BP11" i="1" s="1"/>
  <c r="BK11" i="1" a="1"/>
  <c r="BK11" i="1" s="1"/>
  <c r="BM11" i="1" s="1"/>
  <c r="BJ11" i="1" a="1"/>
  <c r="BJ11" i="1" s="1"/>
  <c r="BL11" i="1" s="1"/>
  <c r="BI11" i="1"/>
  <c r="BI11" i="1" a="1"/>
  <c r="BH11" i="1" a="1"/>
  <c r="BH11" i="1" s="1"/>
  <c r="BG11" i="1"/>
  <c r="BF11" i="1"/>
  <c r="BE11" i="1"/>
  <c r="BD11" i="1"/>
  <c r="BC11" i="1" a="1"/>
  <c r="BC11" i="1" s="1"/>
  <c r="BB11" i="1"/>
  <c r="BA11" i="1" a="1"/>
  <c r="BA11" i="1" s="1"/>
  <c r="BO10" i="1"/>
  <c r="BQ10" i="1" s="1"/>
  <c r="BO10" i="1" a="1"/>
  <c r="BN10" i="1" a="1"/>
  <c r="BN10" i="1" s="1"/>
  <c r="BP10" i="1" s="1"/>
  <c r="BK10" i="1" a="1"/>
  <c r="BK10" i="1" s="1"/>
  <c r="BM10" i="1" s="1"/>
  <c r="BJ10" i="1" a="1"/>
  <c r="BJ10" i="1" s="1"/>
  <c r="BL10" i="1" s="1"/>
  <c r="BI10" i="1" a="1"/>
  <c r="BI10" i="1" s="1"/>
  <c r="BH10" i="1"/>
  <c r="BH10" i="1" a="1"/>
  <c r="BG10" i="1"/>
  <c r="BF10" i="1"/>
  <c r="BE10" i="1"/>
  <c r="BD10" i="1"/>
  <c r="BC10" i="1" a="1"/>
  <c r="BC10" i="1" s="1"/>
  <c r="BB10" i="1"/>
  <c r="BA10" i="1"/>
  <c r="BA10" i="1" a="1"/>
  <c r="BO9" i="1" a="1"/>
  <c r="BO9" i="1" s="1"/>
  <c r="BQ9" i="1" s="1"/>
  <c r="BN9" i="1"/>
  <c r="BP9" i="1" s="1"/>
  <c r="BN9" i="1" a="1"/>
  <c r="BK9" i="1" a="1"/>
  <c r="BK9" i="1" s="1"/>
  <c r="BM9" i="1" s="1"/>
  <c r="BJ9" i="1" a="1"/>
  <c r="BJ9" i="1" s="1"/>
  <c r="BL9" i="1" s="1"/>
  <c r="BI9" i="1" a="1"/>
  <c r="BI9" i="1" s="1"/>
  <c r="BH9" i="1" a="1"/>
  <c r="BH9" i="1" s="1"/>
  <c r="BG9" i="1"/>
  <c r="BF9" i="1"/>
  <c r="BE9" i="1"/>
  <c r="BD9" i="1"/>
  <c r="BC9" i="1" a="1"/>
  <c r="BC9" i="1" s="1"/>
  <c r="BB9" i="1"/>
  <c r="BA9" i="1"/>
  <c r="BA9" i="1" a="1"/>
  <c r="BO8" i="1" a="1"/>
  <c r="BO8" i="1" s="1"/>
  <c r="BQ8" i="1" s="1"/>
  <c r="BN8" i="1" a="1"/>
  <c r="BN8" i="1" s="1"/>
  <c r="BP8" i="1" s="1"/>
  <c r="BK8" i="1" a="1"/>
  <c r="BK8" i="1" s="1"/>
  <c r="BM8" i="1" s="1"/>
  <c r="BJ8" i="1" a="1"/>
  <c r="BJ8" i="1" s="1"/>
  <c r="BL8" i="1" s="1"/>
  <c r="BI8" i="1"/>
  <c r="BI8" i="1" a="1"/>
  <c r="BH8" i="1" a="1"/>
  <c r="BH8" i="1" s="1"/>
  <c r="BG8" i="1"/>
  <c r="BF8" i="1"/>
  <c r="BE8" i="1"/>
  <c r="BD8" i="1"/>
  <c r="BC8" i="1" a="1"/>
  <c r="BC8" i="1" s="1"/>
  <c r="BB8" i="1"/>
  <c r="BA8" i="1"/>
  <c r="BA8" i="1" a="1"/>
  <c r="BO7" i="1"/>
  <c r="BQ7" i="1" s="1"/>
  <c r="BO7" i="1" a="1"/>
  <c r="BN7" i="1" a="1"/>
  <c r="BN7" i="1" s="1"/>
  <c r="BP7" i="1" s="1"/>
  <c r="BK7" i="1" a="1"/>
  <c r="BK7" i="1" s="1"/>
  <c r="BM7" i="1" s="1"/>
  <c r="BJ7" i="1" a="1"/>
  <c r="BJ7" i="1" s="1"/>
  <c r="BL7" i="1" s="1"/>
  <c r="BI7" i="1" a="1"/>
  <c r="BI7" i="1" s="1"/>
  <c r="BH7" i="1"/>
  <c r="BH7" i="1" a="1"/>
  <c r="BG7" i="1"/>
  <c r="BF7" i="1"/>
  <c r="BE7" i="1"/>
  <c r="BD7" i="1"/>
  <c r="BC7" i="1"/>
  <c r="BC7" i="1" a="1"/>
  <c r="BB7" i="1"/>
  <c r="BA7" i="1"/>
  <c r="BA7" i="1" a="1"/>
  <c r="BO6" i="1" a="1"/>
  <c r="BO6" i="1" s="1"/>
  <c r="BQ6" i="1" s="1"/>
  <c r="BN6" i="1" a="1"/>
  <c r="BN6" i="1" s="1"/>
  <c r="BP6" i="1" s="1"/>
  <c r="BK6" i="1" a="1"/>
  <c r="BK6" i="1" s="1"/>
  <c r="BM6" i="1" s="1"/>
  <c r="BJ6" i="1" a="1"/>
  <c r="BJ6" i="1" s="1"/>
  <c r="BL6" i="1" s="1"/>
  <c r="BI6" i="1" a="1"/>
  <c r="BI6" i="1" s="1"/>
  <c r="BH6" i="1" a="1"/>
  <c r="BH6" i="1" s="1"/>
  <c r="BG6" i="1"/>
  <c r="BF6" i="1"/>
  <c r="BE6" i="1"/>
  <c r="BD6" i="1"/>
  <c r="BC6" i="1" a="1"/>
  <c r="BC6" i="1" s="1"/>
  <c r="BB6" i="1"/>
  <c r="BA6" i="1" a="1"/>
  <c r="BA6" i="1" s="1"/>
  <c r="BQ5" i="1"/>
  <c r="BO5" i="1"/>
  <c r="BO5" i="1" a="1"/>
  <c r="BN5" i="1" a="1"/>
  <c r="BN5" i="1" s="1"/>
  <c r="BP5" i="1" s="1"/>
  <c r="BK5" i="1" a="1"/>
  <c r="BK5" i="1" s="1"/>
  <c r="BM5" i="1" s="1"/>
  <c r="BJ5" i="1" a="1"/>
  <c r="BJ5" i="1" s="1"/>
  <c r="BL5" i="1" s="1"/>
  <c r="BI5" i="1"/>
  <c r="BI5" i="1" a="1"/>
  <c r="BH5" i="1" a="1"/>
  <c r="BH5" i="1" s="1"/>
  <c r="BG5" i="1"/>
  <c r="BF5" i="1"/>
  <c r="BE5" i="1"/>
  <c r="BE27" i="1" s="1"/>
  <c r="BD5" i="1"/>
  <c r="BC5" i="1" a="1"/>
  <c r="BC5" i="1" s="1"/>
  <c r="BB5" i="1"/>
  <c r="BA5" i="1" a="1"/>
  <c r="BA5" i="1" s="1"/>
  <c r="BO4" i="1"/>
  <c r="BQ4" i="1" s="1"/>
  <c r="BO4" i="1" a="1"/>
  <c r="BN4" i="1" a="1"/>
  <c r="BN4" i="1" s="1"/>
  <c r="BP4" i="1" s="1"/>
  <c r="BK4" i="1" a="1"/>
  <c r="BK4" i="1" s="1"/>
  <c r="BM4" i="1" s="1"/>
  <c r="BJ4" i="1" a="1"/>
  <c r="BJ4" i="1" s="1"/>
  <c r="BL4" i="1" s="1"/>
  <c r="BI4" i="1" a="1"/>
  <c r="BI4" i="1" s="1"/>
  <c r="BH4" i="1" a="1"/>
  <c r="BH4" i="1" s="1"/>
  <c r="BG4" i="1"/>
  <c r="BF4" i="1"/>
  <c r="BE4" i="1"/>
  <c r="BD4" i="1"/>
  <c r="BC4" i="1"/>
  <c r="BC4" i="1" a="1"/>
  <c r="BB4" i="1"/>
  <c r="BA4" i="1"/>
  <c r="BA4" i="1" a="1"/>
  <c r="BO3" i="1" a="1"/>
  <c r="BO3" i="1" s="1"/>
  <c r="BQ3" i="1" s="1"/>
  <c r="BN3" i="1"/>
  <c r="BP3" i="1" s="1"/>
  <c r="BN3" i="1" a="1"/>
  <c r="BK3" i="1" a="1"/>
  <c r="BK3" i="1" s="1"/>
  <c r="BM3" i="1" s="1"/>
  <c r="BJ3" i="1" a="1"/>
  <c r="BJ3" i="1" s="1"/>
  <c r="BL3" i="1" s="1"/>
  <c r="BI3" i="1" a="1"/>
  <c r="BI3" i="1" s="1"/>
  <c r="BH3" i="1" a="1"/>
  <c r="BH3" i="1" s="1"/>
  <c r="BG3" i="1"/>
  <c r="BG27" i="1" s="1"/>
  <c r="BF3" i="1"/>
  <c r="BF27" i="1" s="1"/>
  <c r="BE3" i="1"/>
  <c r="BD3" i="1"/>
  <c r="BD27" i="1" s="1"/>
  <c r="BC3" i="1" a="1"/>
  <c r="BC3" i="1" s="1"/>
  <c r="BB3" i="1"/>
  <c r="BA3" i="1" a="1"/>
  <c r="BA3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Sandra Milena Rubiano Martinez</author>
    <author>Rociris Helena Puerta Ayala</author>
    <author>Tania Alejandra Agudelo Ruiz</author>
  </authors>
  <commentList>
    <comment ref="G3" authorId="0" shapeId="0" xr:uid="{328B80C6-26AD-49BA-8C19-CA591773BD17}">
      <text>
        <r>
          <rPr>
            <sz val="11"/>
            <color theme="1"/>
            <rFont val="Calibri"/>
            <family val="2"/>
            <scheme val="minor"/>
          </rPr>
          <t>Sandra Milena Rubiano Martinez:
Solicitado por la operadora mediante correo</t>
        </r>
      </text>
    </comment>
    <comment ref="AS3" authorId="1" shapeId="0" xr:uid="{4CECF878-9A9D-40D0-8DF2-1CCBDA6515E0}">
      <text>
        <r>
          <rPr>
            <sz val="11"/>
            <color theme="1"/>
            <rFont val="Calibri"/>
            <family val="2"/>
            <scheme val="minor"/>
          </rPr>
          <t>Rociris Helena Puerta Ayala:
soporte por apoyo de Jonathan en la linea sac</t>
        </r>
      </text>
    </comment>
    <comment ref="AG5" authorId="1" shapeId="0" xr:uid="{B99E083E-00E1-4964-9F2C-89E342615537}">
      <text>
        <r>
          <rPr>
            <sz val="11"/>
            <color theme="1"/>
            <rFont val="Calibri"/>
            <family val="2"/>
            <scheme val="minor"/>
          </rPr>
          <t>Rociris Helena Puerta Ayala:
Tomar break de maryely</t>
        </r>
      </text>
    </comment>
    <comment ref="AZ5" authorId="1" shapeId="0" xr:uid="{877FA5B7-3679-48D7-A5B5-FA8ADE960A08}">
      <text>
        <r>
          <rPr>
            <sz val="11"/>
            <color theme="1"/>
            <rFont val="Calibri"/>
            <family val="2"/>
            <scheme val="minor"/>
          </rPr>
          <t>Rociris Helena Puerta Ayala:
tomar break y almuerzo de maryely</t>
        </r>
      </text>
    </comment>
    <comment ref="AG6" authorId="2" shapeId="0" xr:uid="{E0C830C2-56C9-427A-8DD5-5FB899ED2E95}">
      <text>
        <r>
          <rPr>
            <sz val="11"/>
            <color theme="1"/>
            <rFont val="Calibri"/>
            <family val="2"/>
            <scheme val="minor"/>
          </rPr>
          <t>Tania Alejandra Agudelo Ruiz:
Cambio por remplazo</t>
        </r>
      </text>
    </comment>
    <comment ref="AJ6" authorId="2" shapeId="0" xr:uid="{B862D2FA-0696-40F9-9681-4DB6EEB5C0C0}">
      <text>
        <r>
          <rPr>
            <sz val="11"/>
            <color theme="1"/>
            <rFont val="Calibri"/>
            <family val="2"/>
            <scheme val="minor"/>
          </rPr>
          <t>Tania Alejandra Agudelo Ruiz:
Apoyo en remplazo</t>
        </r>
      </text>
    </comment>
    <comment ref="AJ7" authorId="1" shapeId="0" xr:uid="{A70AD257-B061-45C0-9277-07D9F1A2A52F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TOMAR BREAK DE OSCAR ALFONSO </t>
        </r>
      </text>
    </comment>
    <comment ref="AQ7" authorId="2" shapeId="0" xr:uid="{383D4B32-0851-4C3C-B64F-68F406119568}">
      <text>
        <r>
          <rPr>
            <sz val="11"/>
            <color theme="1"/>
            <rFont val="Calibri"/>
            <family val="2"/>
            <scheme val="minor"/>
          </rPr>
          <t>Tania Alejandra Agudelo Ruiz:
Salio a las 15:45 por novedad intima envio permiso por teams</t>
        </r>
      </text>
    </comment>
    <comment ref="K8" authorId="0" shapeId="0" xr:uid="{609FE793-2BE9-425A-BF39-C14D45D58236}">
      <text>
        <r>
          <rPr>
            <sz val="11"/>
            <color theme="1"/>
            <rFont val="Calibri"/>
            <family val="2"/>
            <scheme val="minor"/>
          </rPr>
          <t xml:space="preserve">Sandra Milena Rubiano Martinez:
Licencia no remunerada </t>
        </r>
      </text>
    </comment>
    <comment ref="U8" authorId="2" shapeId="0" xr:uid="{9563AD56-2C4C-4965-AFFD-C9554133D5DC}">
      <text>
        <r>
          <rPr>
            <sz val="11"/>
            <color theme="1"/>
            <rFont val="Calibri"/>
            <family val="2"/>
            <scheme val="minor"/>
          </rPr>
          <t>Tania Alejandra Agudelo Ruiz:
calamidad domestica</t>
        </r>
      </text>
    </comment>
    <comment ref="AG8" authorId="1" shapeId="0" xr:uid="{2B94AD2E-297C-48F5-8A9F-294DC3903633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APOYO EN LINEA DE SOPORTE </t>
        </r>
      </text>
    </comment>
    <comment ref="AG9" authorId="2" shapeId="0" xr:uid="{E421A465-A233-4323-B2AA-A8D85FD98100}">
      <text>
        <r>
          <rPr>
            <sz val="11"/>
            <color theme="1"/>
            <rFont val="Calibri"/>
            <family val="2"/>
            <scheme val="minor"/>
          </rPr>
          <t>Tania Alejandra Agudelo Ruiz:
Cambio por remplazo</t>
        </r>
      </text>
    </comment>
    <comment ref="U10" authorId="1" shapeId="0" xr:uid="{EA70029B-63B8-48FE-B334-44066A327D09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cubrimiento de Gladys 
tiempo extra 1hora y 30 minutos </t>
        </r>
      </text>
    </comment>
    <comment ref="AJ10" authorId="2" shapeId="0" xr:uid="{3C0FD15B-5F5E-432E-9FD6-9AB1FCEA8611}">
      <text>
        <r>
          <rPr>
            <sz val="11"/>
            <color theme="1"/>
            <rFont val="Calibri"/>
            <family val="2"/>
            <scheme val="minor"/>
          </rPr>
          <t>Tania Alejandra Agudelo Ruiz:
Sale una hora antes tiempo que se debia por apoyo en operacion</t>
        </r>
      </text>
    </comment>
    <comment ref="AK10" authorId="2" shapeId="0" xr:uid="{F35AEBC3-A058-43E8-BC69-5008E38BE903}">
      <text>
        <r>
          <rPr>
            <sz val="11"/>
            <color theme="1"/>
            <rFont val="Calibri"/>
            <family val="2"/>
            <scheme val="minor"/>
          </rPr>
          <t xml:space="preserve">Tania Alejandra Agudelo Ruiz:
sale a la 1:30 pm por permiso de horas que se debian por apoyo en la operacion
</t>
        </r>
      </text>
    </comment>
    <comment ref="AR10" authorId="1" shapeId="0" xr:uid="{7123BAA1-54FF-4BD3-AEDC-8B8DDB50639A}">
      <text>
        <r>
          <rPr>
            <sz val="11"/>
            <color theme="1"/>
            <rFont val="Calibri"/>
            <family val="2"/>
            <scheme val="minor"/>
          </rPr>
          <t>Rociris Helena Puerta Ayala:
tomar break de Maryely</t>
        </r>
      </text>
    </comment>
    <comment ref="G11" authorId="1" shapeId="0" xr:uid="{3DA0CFC5-EEE8-41DD-A587-8066EE411C11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EL OPERADOR REALIZO TURNO HASTA LAS 5PM
El operador realiza turno hasta las 5:15pm </t>
        </r>
      </text>
    </comment>
    <comment ref="V11" authorId="1" shapeId="0" xr:uid="{790F0BEA-F4A4-4C55-B9D3-01660A49D2F0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cita media autorizado por Oscar </t>
        </r>
      </text>
    </comment>
    <comment ref="W11" authorId="1" shapeId="0" xr:uid="{89EE4771-EDF5-46D7-A658-4EDFC102A64A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cita media autorizado por Oscar </t>
        </r>
      </text>
    </comment>
    <comment ref="AR11" authorId="1" shapeId="0" xr:uid="{53A0E2EC-55A3-4F0C-ACEE-8635190EF5E3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TOMAR BREAK DE PATRICIA </t>
        </r>
      </text>
    </comment>
    <comment ref="AS11" authorId="1" shapeId="0" xr:uid="{02F5F820-A596-4022-831A-F8A6DC99F46D}">
      <text>
        <r>
          <rPr>
            <sz val="11"/>
            <color theme="1"/>
            <rFont val="Calibri"/>
            <family val="2"/>
            <scheme val="minor"/>
          </rPr>
          <t>Rociris Helena Puerta Ayala:
apoyo en sac de 8 a 2pm</t>
        </r>
      </text>
    </comment>
    <comment ref="AS12" authorId="0" shapeId="0" xr:uid="{21122CC0-6C7A-4FCE-8D9B-18B65F3C705E}">
      <text>
        <r>
          <rPr>
            <sz val="11"/>
            <color theme="1"/>
            <rFont val="Calibri"/>
            <family val="2"/>
            <scheme val="minor"/>
          </rPr>
          <t xml:space="preserve">Sandra Milena Rubiano Martinez:
Permiso otorgado por Oscar de ingreso a las 3:50 </t>
        </r>
      </text>
    </comment>
    <comment ref="AS13" authorId="1" shapeId="0" xr:uid="{A4053A5A-8774-406A-880F-5F6B501B21A8}">
      <text>
        <r>
          <rPr>
            <sz val="11"/>
            <color theme="1"/>
            <rFont val="Calibri"/>
            <family val="2"/>
            <scheme val="minor"/>
          </rPr>
          <t>Rociris Helena Puerta Ayala:
apoyo en sac de 8 a 2pm con la campaña es prioridad 2</t>
        </r>
      </text>
    </comment>
    <comment ref="J15" authorId="1" shapeId="0" xr:uid="{2769FCBB-395E-4C8A-B927-63B94255FA2C}">
      <text>
        <r>
          <rPr>
            <sz val="11"/>
            <color theme="1"/>
            <rFont val="Calibri"/>
            <family val="2"/>
            <scheme val="minor"/>
          </rPr>
          <t>Rociris Helena Puerta Ayala:
SOLICITA PERMISO POR 2 HORAS 30 MINUTOS # 5558</t>
        </r>
      </text>
    </comment>
    <comment ref="M15" authorId="1" shapeId="0" xr:uid="{661D45CF-4DF8-4F73-9313-6AC2BFA7BA16}">
      <text>
        <r>
          <rPr>
            <sz val="11"/>
            <color theme="1"/>
            <rFont val="Calibri"/>
            <family val="2"/>
            <scheme val="minor"/>
          </rPr>
          <t>Rociris Helena Puerta Ayala:
PERMISO CITA MEDICA 3 HORAS Y 30 MINUTOS ID DEL PERMISO 5568</t>
        </r>
      </text>
    </comment>
    <comment ref="U15" authorId="1" shapeId="0" xr:uid="{630ECFBD-C593-4C4D-B049-B12AA5FF047A}">
      <text>
        <r>
          <rPr>
            <sz val="11"/>
            <color theme="1"/>
            <rFont val="Calibri"/>
            <family val="2"/>
            <scheme val="minor"/>
          </rPr>
          <t>Rociris Helena Puerta Ayala:
permiso cita medica 3 horas 45 minutos ID 5572</t>
        </r>
      </text>
    </comment>
    <comment ref="W15" authorId="1" shapeId="0" xr:uid="{EF36B727-650B-40D1-ACA9-6CCFA049B40F}">
      <text>
        <r>
          <rPr>
            <sz val="11"/>
            <color theme="1"/>
            <rFont val="Calibri"/>
            <family val="2"/>
            <scheme val="minor"/>
          </rPr>
          <t>Rociris Helena Puerta Ayala:
PERMISO CITA MEDICA 1 HORA Y 30 MINUTOS 
No.5580</t>
        </r>
      </text>
    </comment>
    <comment ref="AG15" authorId="1" shapeId="0" xr:uid="{0448AFF4-EFC3-4DFC-9D05-5114D5EA043C}">
      <text>
        <r>
          <rPr>
            <sz val="11"/>
            <color theme="1"/>
            <rFont val="Calibri"/>
            <family val="2"/>
            <scheme val="minor"/>
          </rPr>
          <t>Rociris Helena Puerta Ayala:
permiso de 1  y 30 minutos exámenes médicos  8:30 am a 9pm id de permiso 5589</t>
        </r>
      </text>
    </comment>
    <comment ref="AH15" authorId="1" shapeId="0" xr:uid="{C42AEC2A-8DB5-4E9B-9D7D-D6CFA300BCC4}">
      <text>
        <r>
          <rPr>
            <sz val="11"/>
            <color theme="1"/>
            <rFont val="Calibri"/>
            <family val="2"/>
            <scheme val="minor"/>
          </rPr>
          <t>Rociris Helena Puerta Ayala:
permiso cita medica de 3 horas y 15 minutos id del permiso 5584</t>
        </r>
      </text>
    </comment>
    <comment ref="AI15" authorId="1" shapeId="0" xr:uid="{29FC649F-2583-4B73-B751-1732A2A9779D}">
      <text>
        <r>
          <rPr>
            <sz val="11"/>
            <color theme="1"/>
            <rFont val="Calibri"/>
            <family val="2"/>
            <scheme val="minor"/>
          </rPr>
          <t>Rociris Helena Puerta Ayala:
permiso por cita medica 2 horas y 15 minutos id PERMISO 5585</t>
        </r>
      </text>
    </comment>
    <comment ref="AP15" authorId="1" shapeId="0" xr:uid="{7108D912-4ECE-462D-83EC-53EA58297A62}">
      <text>
        <r>
          <rPr>
            <sz val="11"/>
            <color theme="1"/>
            <rFont val="Calibri"/>
            <family val="2"/>
            <scheme val="minor"/>
          </rPr>
          <t>Rociris Helena Puerta Ayala:
permiso por cita medica de 2horas 50 minutos permiso 5602</t>
        </r>
      </text>
    </comment>
    <comment ref="AQ15" authorId="1" shapeId="0" xr:uid="{389A2CE0-611D-4CB4-9844-D83F74ECFD2D}">
      <text>
        <r>
          <rPr>
            <sz val="11"/>
            <color theme="1"/>
            <rFont val="Calibri"/>
            <family val="2"/>
            <scheme val="minor"/>
          </rPr>
          <t>Rociris Helena Puerta Ayala:
permiso por cita medica por 3 horas y 35 minutos PERMISO 5608</t>
        </r>
      </text>
    </comment>
    <comment ref="J16" authorId="0" shapeId="0" xr:uid="{4263F455-A888-4777-B94C-E30D1CCFC04C}">
      <text>
        <r>
          <rPr>
            <sz val="11"/>
            <color theme="1"/>
            <rFont val="Calibri"/>
            <family val="2"/>
            <scheme val="minor"/>
          </rPr>
          <t xml:space="preserve">Sandra Milena Rubiano Martinez:
Cubre incapacidad de Jonathan </t>
        </r>
      </text>
    </comment>
    <comment ref="AG16" authorId="1" shapeId="0" xr:uid="{58847CFF-5909-49C0-AFF1-1821594844A6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Tomar break y almuerzo de Daniel </t>
        </r>
      </text>
    </comment>
    <comment ref="AR16" authorId="1" shapeId="0" xr:uid="{9FF6CA8A-4273-4A70-8A34-607ECF51921A}">
      <text>
        <r>
          <rPr>
            <sz val="11"/>
            <color theme="1"/>
            <rFont val="Calibri"/>
            <family val="2"/>
            <scheme val="minor"/>
          </rPr>
          <t>Rociris Helena Puerta Ayala:
tomar break de Jenifer</t>
        </r>
      </text>
    </comment>
    <comment ref="AJ17" authorId="1" shapeId="0" xr:uid="{4B697B3B-60B7-4D9F-8D77-C0A6A5E375BC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TOMAR BREAK DE DIANA GUARINIZO </t>
        </r>
      </text>
    </comment>
    <comment ref="AR17" authorId="1" shapeId="0" xr:uid="{BD8A912F-FE65-4167-9122-0A0CC3BDA37C}">
      <text>
        <r>
          <rPr>
            <sz val="11"/>
            <color theme="1"/>
            <rFont val="Calibri"/>
            <family val="2"/>
            <scheme val="minor"/>
          </rPr>
          <t>Rociris Helena Puerta Ayala:
permiso de 1 hora por cita medica 5618</t>
        </r>
      </text>
    </comment>
    <comment ref="AR18" authorId="1" shapeId="0" xr:uid="{E210C10F-C717-40BF-A6E1-6BF77E911C90}">
      <text>
        <r>
          <rPr>
            <sz val="11"/>
            <color theme="1"/>
            <rFont val="Calibri"/>
            <family val="2"/>
            <scheme val="minor"/>
          </rPr>
          <t>Rociris Helena Puerta Ayala:
TOMAR BREAK DE JONATHAN</t>
        </r>
      </text>
    </comment>
    <comment ref="V20" authorId="1" shapeId="0" xr:uid="{BE0F1571-7052-4CED-BF3E-AF0C16217922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tomar break de Jonathan solicitado y autorizado por Oscar  </t>
        </r>
      </text>
    </comment>
    <comment ref="W20" authorId="1" shapeId="0" xr:uid="{552718DF-1909-4FBB-AF00-116CBF863377}">
      <text>
        <r>
          <rPr>
            <sz val="11"/>
            <color theme="1"/>
            <rFont val="Calibri"/>
            <family val="2"/>
            <scheme val="minor"/>
          </rPr>
          <t xml:space="preserve">Rociris Helena Puerta Ayala:
tomar break de Jonathan solicitado por Oscar  </t>
        </r>
      </text>
    </comment>
    <comment ref="P25" authorId="2" shapeId="0" xr:uid="{325DD794-B76F-4CEB-95C1-694158A3D31A}">
      <text>
        <r>
          <rPr>
            <sz val="11"/>
            <color theme="1"/>
            <rFont val="Calibri"/>
            <family val="2"/>
            <scheme val="minor"/>
          </rPr>
          <t xml:space="preserve">Tania Alejandra Agudelo Ruiz:
cAMBIO DE TURNO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<sst xmlns="http://schemas.openxmlformats.org/spreadsheetml/2006/main" count="474" uniqueCount="115">
  <si>
    <t>FECHA INTEGRANTE C.C.\DÍA BREAK Y ALMUERZO</t>
  </si>
  <si>
    <t> </t>
  </si>
  <si>
    <t>MAÑANA</t>
  </si>
  <si>
    <t>TRANSVERSAL</t>
  </si>
  <si>
    <t>TARDE</t>
  </si>
  <si>
    <t>COMPENSATORIOS</t>
  </si>
  <si>
    <t>vacaciones</t>
  </si>
  <si>
    <t>INCAPACIDAD</t>
  </si>
  <si>
    <t>OTROS</t>
  </si>
  <si>
    <t>FESTIVOS MES</t>
  </si>
  <si>
    <t>23 de Julio al 05 de agosto</t>
  </si>
  <si>
    <t>6 al 20 de Agosto</t>
  </si>
  <si>
    <t>#</t>
  </si>
  <si>
    <t>BREAK</t>
  </si>
  <si>
    <t>ALM</t>
  </si>
  <si>
    <t>Sá.</t>
  </si>
  <si>
    <t>Do.</t>
  </si>
  <si>
    <t>Lu.</t>
  </si>
  <si>
    <t>Ma.</t>
  </si>
  <si>
    <t>Mi.</t>
  </si>
  <si>
    <t>Ju.</t>
  </si>
  <si>
    <t>Vi.</t>
  </si>
  <si>
    <t>HEF</t>
  </si>
  <si>
    <t>RNOC</t>
  </si>
  <si>
    <t>HF</t>
  </si>
  <si>
    <t>RN</t>
  </si>
  <si>
    <t>Camila Andrea Cárdenas Niño</t>
  </si>
  <si>
    <t>16:00/18:00</t>
  </si>
  <si>
    <t>L</t>
  </si>
  <si>
    <t>V</t>
  </si>
  <si>
    <t>8:45/11:15</t>
  </si>
  <si>
    <t>9:45/15:00</t>
  </si>
  <si>
    <t>Claudia Patricia Florez Gomez</t>
  </si>
  <si>
    <t>17:30/20:00</t>
  </si>
  <si>
    <t>8:00/10:30</t>
  </si>
  <si>
    <t>9:30/15:15</t>
  </si>
  <si>
    <t>09:15/11:45</t>
  </si>
  <si>
    <t>Daniel Alejandro Mayorga Vanegas</t>
  </si>
  <si>
    <t>9:00/11:30</t>
  </si>
  <si>
    <t>17:45/20:15</t>
  </si>
  <si>
    <t>16:15/18:15</t>
  </si>
  <si>
    <t>10:00/15:45</t>
  </si>
  <si>
    <t>Diana Esmeralda Campos Casabuenas</t>
  </si>
  <si>
    <t>9:45/15:30</t>
  </si>
  <si>
    <t>17:15/19:45</t>
  </si>
  <si>
    <t>Diana Maria Guarnizo Ramos</t>
  </si>
  <si>
    <t>8:15/10:45</t>
  </si>
  <si>
    <t>17:00/19:30</t>
  </si>
  <si>
    <t>Gladys Gonzalez Ruiz</t>
  </si>
  <si>
    <t>16:30/19:00</t>
  </si>
  <si>
    <t>I</t>
  </si>
  <si>
    <t>O</t>
  </si>
  <si>
    <t>Hellen Sofia Carrillo Godoy</t>
  </si>
  <si>
    <t>09:15/11:30</t>
  </si>
  <si>
    <t>10:15/16:00</t>
  </si>
  <si>
    <t>Jenifer Paola Baquero Linares</t>
  </si>
  <si>
    <t>16:45/19:15</t>
  </si>
  <si>
    <t>8:30/11:00</t>
  </si>
  <si>
    <t>Jonathan Steveen Espinosa Rubio</t>
  </si>
  <si>
    <t>8:30/11:30</t>
  </si>
  <si>
    <t>July Andrea Herreño Gonzalez</t>
  </si>
  <si>
    <t>Katherine Lopez Guerrero</t>
  </si>
  <si>
    <t>Luisa Fernanda Suarez Suarez</t>
  </si>
  <si>
    <t>9:00/11:45</t>
  </si>
  <si>
    <t>Maria Alexandra Gomez Mahecha</t>
  </si>
  <si>
    <t>Maryely Hernandez Hernandez</t>
  </si>
  <si>
    <t>9:00/11:00</t>
  </si>
  <si>
    <t>Oscar Mauricio Alfonso Hernandez</t>
  </si>
  <si>
    <t>8:00/11:00</t>
  </si>
  <si>
    <t>Patricia Garcia Torres</t>
  </si>
  <si>
    <t>8:15/11:15</t>
  </si>
  <si>
    <t>Lady Xiomara Roncancio Burgos</t>
  </si>
  <si>
    <t>Angie Tatiana Prieto Mendez</t>
  </si>
  <si>
    <t>Loeny Tatiana Sanchez Acevedo</t>
  </si>
  <si>
    <t>Karoll Daniela Ramirez Marroquin</t>
  </si>
  <si>
    <t>Jefferson Javier Lugo Coronado</t>
  </si>
  <si>
    <t>Rociris Helena Puerta Ayala</t>
  </si>
  <si>
    <t>Sandra Milena Rubiano Martinez</t>
  </si>
  <si>
    <t>Tania Alejandra Agudelo Ruiz</t>
  </si>
  <si>
    <t>Cantidad Agentes Mañana</t>
  </si>
  <si>
    <t>Cantidad Agentes Intermedio</t>
  </si>
  <si>
    <t>Cantidad Agentes Tarde</t>
  </si>
  <si>
    <t>TOTAL</t>
  </si>
  <si>
    <t>VACACIONES</t>
  </si>
  <si>
    <t>DOMINGO</t>
  </si>
  <si>
    <t>FESTIVO</t>
  </si>
  <si>
    <t xml:space="preserve"> </t>
  </si>
  <si>
    <t>DATASERVICE</t>
  </si>
  <si>
    <t>PAGOS DE GOBIERNO</t>
  </si>
  <si>
    <t>LINEA DE SOPORTE</t>
  </si>
  <si>
    <t>CANGURO</t>
  </si>
  <si>
    <t>TURNOS</t>
  </si>
  <si>
    <t>HORA INICIO</t>
  </si>
  <si>
    <t>HORA FIN</t>
  </si>
  <si>
    <t>ALMUERZO</t>
  </si>
  <si>
    <t>BREAK DOM Y FES</t>
  </si>
  <si>
    <t>8:00/10:15</t>
  </si>
  <si>
    <t>8:15/10:30</t>
  </si>
  <si>
    <t>8:30/10:45</t>
  </si>
  <si>
    <t>8:45/11:00</t>
  </si>
  <si>
    <t>9:00/11:15</t>
  </si>
  <si>
    <t>9:15/11:30</t>
  </si>
  <si>
    <t>9:30/11:45</t>
  </si>
  <si>
    <t>10:00/15:15</t>
  </si>
  <si>
    <t>10:15/15:30</t>
  </si>
  <si>
    <t>10:30/15:45</t>
  </si>
  <si>
    <t>LIBRE</t>
  </si>
  <si>
    <t>C</t>
  </si>
  <si>
    <t>COMPENSATORIO</t>
  </si>
  <si>
    <t>P</t>
  </si>
  <si>
    <t>CAPACITACIÓN</t>
  </si>
  <si>
    <t>N</t>
  </si>
  <si>
    <t>COMPENSATORIO NO REMUNERADO</t>
  </si>
  <si>
    <t>R</t>
  </si>
  <si>
    <t>REEMPLAZO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</si>
</sst>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3">
    <font>
      <sz val="11"/>
      <color theme="1"/>
      <name val="Calibri"/>
      <family val="2"/>
      <scheme val="minor"/>
    </font>
    <font>
      <b/>
      <sz val="11"/>
      <color rgb="FF1F1F1F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sz val="11"/>
      <color rgb="FF1F1F1F"/>
      <name val="Arial"/>
      <family val="2"/>
    </font>
    <font>
      <sz val="11"/>
      <color rgb="FF1F1F1F"/>
      <name val="Arial"/>
    </font>
    <font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color rgb="FF000000"/>
      <name val="Arial"/>
    </font>
    <font>
      <sz val="11"/>
      <color theme="1"/>
      <name val="Arial"/>
    </font>
    <font>
      <sz val="11"/>
      <color theme="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BFBFB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5AF84"/>
        <bgColor indexed="64"/>
      </patternFill>
    </fill>
    <fill>
      <patternFill patternType="solid">
        <fgColor rgb="FFC6A3CC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theme="9" tint="0.399975585192419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20" fontId="4" fillId="0" borderId="1" xfId="0" applyNumberFormat="1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20" fontId="4" fillId="6" borderId="1" xfId="0" applyNumberFormat="1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20" fontId="4" fillId="7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20" fontId="4" fillId="8" borderId="1" xfId="0" applyNumberFormat="1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20" fontId="5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10" borderId="1" xfId="0" applyNumberFormat="1" applyFont="1" applyFill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20" fontId="4" fillId="9" borderId="1" xfId="0" applyNumberFormat="1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20" fontId="5" fillId="4" borderId="1" xfId="0" applyNumberFormat="1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20" fontId="4" fillId="13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20" fontId="5" fillId="13" borderId="1" xfId="0" applyNumberFormat="1" applyFont="1" applyFill="1" applyBorder="1" applyAlignment="1">
      <alignment horizontal="center" vertical="center"/>
    </xf>
    <xf numFmtId="20" fontId="5" fillId="9" borderId="1" xfId="0" applyNumberFormat="1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4" fillId="14" borderId="1" xfId="0" applyFont="1" applyFill="1" applyBorder="1" applyAlignment="1">
      <alignment horizontal="center" vertical="center"/>
    </xf>
    <xf numFmtId="1" fontId="5" fillId="3" borderId="1" xfId="0" applyNumberFormat="1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11" borderId="1" xfId="0" applyFont="1" applyFill="1" applyBorder="1" applyAlignment="1">
      <alignment horizontal="center" vertical="center"/>
    </xf>
    <xf numFmtId="20" fontId="5" fillId="6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20" fontId="5" fillId="8" borderId="1" xfId="0" applyNumberFormat="1" applyFont="1" applyFill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1" fontId="5" fillId="4" borderId="1" xfId="0" applyNumberFormat="1" applyFont="1" applyFill="1" applyBorder="1" applyAlignment="1">
      <alignment horizontal="center" vertical="center"/>
    </xf>
    <xf numFmtId="0" fontId="5" fillId="15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" fontId="5" fillId="10" borderId="1" xfId="0" applyNumberFormat="1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4" fillId="15" borderId="1" xfId="0" applyFont="1" applyFill="1" applyBorder="1" applyAlignment="1">
      <alignment horizontal="center" vertical="center"/>
    </xf>
    <xf numFmtId="20" fontId="4" fillId="4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0" fontId="4" fillId="16" borderId="1" xfId="0" applyNumberFormat="1" applyFont="1" applyFill="1" applyBorder="1" applyAlignment="1">
      <alignment horizontal="center" vertical="center"/>
    </xf>
    <xf numFmtId="0" fontId="4" fillId="16" borderId="1" xfId="0" applyFont="1" applyFill="1" applyBorder="1" applyAlignment="1">
      <alignment horizontal="center" vertical="center"/>
    </xf>
    <xf numFmtId="20" fontId="5" fillId="1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20" fontId="6" fillId="4" borderId="1" xfId="0" applyNumberFormat="1" applyFont="1" applyFill="1" applyBorder="1" applyAlignment="1">
      <alignment horizontal="center" vertical="center"/>
    </xf>
    <xf numFmtId="20" fontId="6" fillId="0" borderId="1" xfId="0" applyNumberFormat="1" applyFont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7" fillId="7" borderId="3" xfId="0" applyFont="1" applyFill="1" applyBorder="1" applyAlignment="1">
      <alignment horizont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/>
    </xf>
    <xf numFmtId="0" fontId="1" fillId="17" borderId="6" xfId="0" applyFont="1" applyFill="1" applyBorder="1" applyAlignment="1">
      <alignment horizontal="center" vertical="center"/>
    </xf>
    <xf numFmtId="0" fontId="6" fillId="7" borderId="7" xfId="0" applyFont="1" applyFill="1" applyBorder="1" applyAlignment="1">
      <alignment vertical="center"/>
    </xf>
    <xf numFmtId="0" fontId="9" fillId="0" borderId="0" xfId="0" applyFont="1" applyAlignment="1">
      <alignment horizontal="center" vertical="center"/>
    </xf>
    <xf numFmtId="0" fontId="6" fillId="6" borderId="8" xfId="0" applyFont="1" applyFill="1" applyBorder="1" applyAlignment="1">
      <alignment vertical="center"/>
    </xf>
    <xf numFmtId="0" fontId="6" fillId="8" borderId="8" xfId="0" applyFont="1" applyFill="1" applyBorder="1" applyAlignment="1">
      <alignment vertical="center"/>
    </xf>
    <xf numFmtId="0" fontId="6" fillId="9" borderId="8" xfId="0" applyFont="1" applyFill="1" applyBorder="1" applyAlignment="1">
      <alignment vertical="center"/>
    </xf>
    <xf numFmtId="0" fontId="10" fillId="11" borderId="8" xfId="0" applyFont="1" applyFill="1" applyBorder="1" applyAlignment="1">
      <alignment vertical="center"/>
    </xf>
    <xf numFmtId="0" fontId="11" fillId="12" borderId="8" xfId="0" applyFont="1" applyFill="1" applyBorder="1" applyAlignment="1">
      <alignment vertical="center"/>
    </xf>
    <xf numFmtId="0" fontId="11" fillId="15" borderId="9" xfId="0" applyFont="1" applyFill="1" applyBorder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 vertical="center"/>
    </xf>
    <xf numFmtId="20" fontId="6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3" fillId="18" borderId="1" xfId="0" applyFont="1" applyFill="1" applyBorder="1" applyAlignment="1">
      <alignment horizontal="center" vertical="center"/>
    </xf>
    <xf numFmtId="20" fontId="6" fillId="18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textRotation="45" wrapText="1"/>
    </xf>
    <xf numFmtId="0" fontId="1" fillId="2" borderId="1" xfId="0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2" fillId="7" borderId="2" xfId="0" applyFont="1" applyFill="1" applyBorder="1" applyAlignment="1">
      <alignment horizontal="center"/>
    </xf>
    <xf numFmtId="0" fontId="2" fillId="7" borderId="3" xfId="0" applyFont="1" applyFill="1" applyBorder="1" applyAlignment="1">
      <alignment horizontal="center"/>
    </xf>
  </cellXfs>
  <cellStyles count="1">
    <cellStyle name="Normal" xfId="0" builtinId="0"/>
  </cellStyles>
  <dxfs count="120">
    <dxf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2.xml"/><Relationship Id="rId9" Type="http://schemas.openxmlformats.org/officeDocument/2006/relationships/sheetMetadata" Target="metadata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Turnos%202026.xlsx" TargetMode="External"/><Relationship Id="rId2" Type="http://schemas.openxmlformats.org/officeDocument/2006/relationships/externalLinkPath" Target="https://datacentercolombia-my.sharepoint.com/personal/oscar_acuna_dcsas_com_co1/Documents/Turnos%202026.xlsx" TargetMode="External"/><Relationship Id="rId1" Type="http://schemas.openxmlformats.org/officeDocument/2006/relationships/externalLinkPath" Target="/personal/oscar_acuna_dcsas_com_co1/Documents/Turnos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cumentos/Centro%20de%20Contacto/Novedades%20de%20N&#243;mina/2026/14.%20%20Novedades%20HEDF%20RN%2023%20de%20Julio%20al%20%2005%20de%20Agosto%20del%202026%20RH.xlsx" TargetMode="External"/><Relationship Id="rId2" Type="http://schemas.openxmlformats.org/officeDocument/2006/relationships/externalLinkPath" Target="https://datacentercolombia-my.sharepoint.com/personal/oscar_acuna_dcsas_com_co1/Documents/Documentos/Centro%20de%20Contacto/Novedades%20de%20N&#243;mina/2026/14.%20%20Novedades%20HEDF%20RN%2023%20de%20Julio%20al%20%2005%20de%20Agosto%20del%202026%20RH.xlsx" TargetMode="External"/><Relationship Id="rId1" Type="http://schemas.openxmlformats.org/officeDocument/2006/relationships/externalLinkPath" Target="/personal/oscar_acuna_dcsas_com_co1/Documents/Documentos/Centro%20de%20Contacto/Novedades%20de%20N&#243;mina/2026/14.%20%20Novedades%20HEDF%20RN%2023%20de%20Julio%20al%20%2005%20de%20Agosto%20del%202026%20RH.xlsx" TargetMode="External"/></Relationships>
</file>

<file path=xl/externalLinks/_rels/externalLink3.xml.rels><?xml version="1.0" encoding="UTF-8" standalone="yes"?>
<Relationships xmlns="http://schemas.openxmlformats.org/package/2006/relationships"><Relationship Id="rId3" Type="http://schemas.openxmlformats.org/officeDocument/2006/relationships/externalLinkPath" Target="https://datacentercolombia.sharepoint.com/sites/GerenciadeServicios/Documentos%20compartidos/General/03.%20SEGUIMIENTO%20Y%20CONTROL/03.01%20Centro%20de%20Contacto/Gesti&#243;n%20Supervisi&#243;n/2026/Novedades%20de%20nomina/15.%20%20Novedades%20HEDF%20RN%2006%20de%20Agosto%20al%20%2020%20de%20Agosto%20del%202026%20RH.xlsx" TargetMode="External"/><Relationship Id="rId2" Type="http://schemas.microsoft.com/office/2019/04/relationships/externalLinkLongPath" Target="https://datacentercolombia.sharepoint.com/sites/GerenciadeServicios/Documentos%20compartidos/General/03.%20SEGUIMIENTO%20Y%20CONTROL/03.01%20Centro%20de%20Contacto/Gesti&#243;n%20Supervisi&#243;n/2026/Novedades%20de%20nomina/15.%20%20Novedades%20HEDF%20RN%2006%20de%20Agosto%20al%20%2020%20de%20Agosto%20del%202026%20RH.xlsx?951FA134" TargetMode="External"/><Relationship Id="rId1" Type="http://schemas.openxmlformats.org/officeDocument/2006/relationships/externalLinkPath" Target="file:///\\951FA134\15.%20%20Novedades%20HEDF%20RN%2006%20de%20Agosto%20al%20%2020%20de%20Agosto%20del%202026%20R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nero"/>
      <sheetName val="Febrero"/>
      <sheetName val="Marzo"/>
      <sheetName val="Abril"/>
      <sheetName val="Mayo"/>
      <sheetName val="Junio"/>
      <sheetName val="Julio"/>
      <sheetName val="Agosto"/>
      <sheetName val="Septiembre"/>
      <sheetName val="PÁGO DE NÓMINA"/>
      <sheetName val="PERMISOS"/>
      <sheetName val="Compensatorios -Dia de Familia"/>
      <sheetName val="Asistencia Elemento "/>
      <sheetName val="Datos"/>
      <sheetName val="Análisis Rotación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AL2" t="str">
            <v>Ju.</v>
          </cell>
          <cell r="AM2" t="str">
            <v>Vi.</v>
          </cell>
          <cell r="AN2" t="str">
            <v>Sá.</v>
          </cell>
          <cell r="AO2" t="str">
            <v>BREAK</v>
          </cell>
          <cell r="AP2" t="str">
            <v>Do.</v>
          </cell>
          <cell r="AQ2" t="str">
            <v>BREAK</v>
          </cell>
          <cell r="AR2" t="str">
            <v>ALM</v>
          </cell>
          <cell r="AS2" t="str">
            <v>Lu.</v>
          </cell>
          <cell r="AT2" t="str">
            <v>Ma.</v>
          </cell>
          <cell r="AU2" t="str">
            <v>Mi.</v>
          </cell>
          <cell r="AV2" t="str">
            <v>Ju.</v>
          </cell>
          <cell r="AW2" t="str">
            <v>Vi.</v>
          </cell>
        </row>
        <row r="3">
          <cell r="AL3">
            <v>3</v>
          </cell>
          <cell r="AM3">
            <v>3</v>
          </cell>
          <cell r="AN3">
            <v>3</v>
          </cell>
          <cell r="AP3" t="str">
            <v>L</v>
          </cell>
          <cell r="AQ3" t="str">
            <v>16:00/18:00</v>
          </cell>
          <cell r="AS3">
            <v>4</v>
          </cell>
          <cell r="AT3">
            <v>4</v>
          </cell>
          <cell r="AU3" t="str">
            <v>I</v>
          </cell>
          <cell r="AV3">
            <v>4</v>
          </cell>
          <cell r="AW3">
            <v>4</v>
          </cell>
        </row>
        <row r="4">
          <cell r="AL4">
            <v>1</v>
          </cell>
          <cell r="AM4">
            <v>1</v>
          </cell>
          <cell r="AN4">
            <v>2</v>
          </cell>
          <cell r="AO4">
            <v>0.60416666666666663</v>
          </cell>
          <cell r="AP4">
            <v>10</v>
          </cell>
          <cell r="AQ4" t="str">
            <v>17:30/20:00</v>
          </cell>
          <cell r="AS4">
            <v>5</v>
          </cell>
          <cell r="AT4">
            <v>5</v>
          </cell>
          <cell r="AU4">
            <v>5</v>
          </cell>
          <cell r="AV4">
            <v>5</v>
          </cell>
          <cell r="AW4">
            <v>5</v>
          </cell>
        </row>
        <row r="5">
          <cell r="AL5" t="str">
            <v>V</v>
          </cell>
          <cell r="AM5" t="str">
            <v>V</v>
          </cell>
          <cell r="AN5" t="str">
            <v>V</v>
          </cell>
          <cell r="AP5" t="str">
            <v>V</v>
          </cell>
          <cell r="AS5" t="str">
            <v>V</v>
          </cell>
          <cell r="AT5" t="str">
            <v>V</v>
          </cell>
          <cell r="AU5" t="str">
            <v>V</v>
          </cell>
          <cell r="AV5" t="str">
            <v>V</v>
          </cell>
          <cell r="AW5" t="str">
            <v>V</v>
          </cell>
        </row>
        <row r="6">
          <cell r="AL6">
            <v>2</v>
          </cell>
          <cell r="AM6">
            <v>2</v>
          </cell>
          <cell r="AN6">
            <v>1</v>
          </cell>
          <cell r="AP6" t="str">
            <v>L</v>
          </cell>
          <cell r="AQ6" t="str">
            <v>9:45/15:30</v>
          </cell>
          <cell r="AR6">
            <v>0.5</v>
          </cell>
          <cell r="AS6">
            <v>3</v>
          </cell>
          <cell r="AT6">
            <v>3</v>
          </cell>
          <cell r="AU6">
            <v>3</v>
          </cell>
          <cell r="AV6">
            <v>3</v>
          </cell>
          <cell r="AW6">
            <v>3</v>
          </cell>
        </row>
        <row r="7">
          <cell r="AL7">
            <v>1</v>
          </cell>
          <cell r="AM7">
            <v>1</v>
          </cell>
          <cell r="AN7">
            <v>1</v>
          </cell>
          <cell r="AO7">
            <v>0.64583333333333337</v>
          </cell>
          <cell r="AP7">
            <v>8</v>
          </cell>
          <cell r="AQ7" t="str">
            <v>16:15/18:15</v>
          </cell>
          <cell r="AS7">
            <v>4</v>
          </cell>
          <cell r="AT7">
            <v>4</v>
          </cell>
          <cell r="AU7">
            <v>4</v>
          </cell>
          <cell r="AV7">
            <v>4</v>
          </cell>
          <cell r="AW7">
            <v>4</v>
          </cell>
        </row>
        <row r="8">
          <cell r="AL8">
            <v>3</v>
          </cell>
          <cell r="AM8">
            <v>3</v>
          </cell>
          <cell r="AN8">
            <v>3</v>
          </cell>
          <cell r="AP8" t="str">
            <v>L</v>
          </cell>
          <cell r="AQ8" t="str">
            <v>16:30/19:00</v>
          </cell>
          <cell r="AS8">
            <v>4</v>
          </cell>
          <cell r="AT8">
            <v>4</v>
          </cell>
          <cell r="AU8">
            <v>4</v>
          </cell>
          <cell r="AV8">
            <v>4</v>
          </cell>
          <cell r="AW8">
            <v>4</v>
          </cell>
        </row>
        <row r="9">
          <cell r="AL9">
            <v>5</v>
          </cell>
          <cell r="AM9">
            <v>5</v>
          </cell>
          <cell r="AN9">
            <v>5</v>
          </cell>
          <cell r="AO9">
            <v>0.6875</v>
          </cell>
          <cell r="AP9">
            <v>8</v>
          </cell>
          <cell r="AQ9" t="str">
            <v>09:15/11:30</v>
          </cell>
          <cell r="AS9">
            <v>2</v>
          </cell>
          <cell r="AT9">
            <v>2</v>
          </cell>
          <cell r="AU9">
            <v>2</v>
          </cell>
          <cell r="AV9">
            <v>2</v>
          </cell>
          <cell r="AW9">
            <v>2</v>
          </cell>
        </row>
        <row r="10">
          <cell r="AL10">
            <v>3</v>
          </cell>
          <cell r="AM10">
            <v>3</v>
          </cell>
          <cell r="AN10">
            <v>3</v>
          </cell>
          <cell r="AO10">
            <v>0.375</v>
          </cell>
          <cell r="AP10">
            <v>7</v>
          </cell>
          <cell r="AQ10" t="str">
            <v>16:45/19:15</v>
          </cell>
          <cell r="AS10">
            <v>4</v>
          </cell>
          <cell r="AT10">
            <v>4</v>
          </cell>
          <cell r="AU10">
            <v>4</v>
          </cell>
          <cell r="AV10">
            <v>4</v>
          </cell>
          <cell r="AW10">
            <v>4</v>
          </cell>
        </row>
        <row r="11">
          <cell r="AL11">
            <v>4</v>
          </cell>
          <cell r="AM11">
            <v>4</v>
          </cell>
          <cell r="AN11">
            <v>4</v>
          </cell>
          <cell r="AP11" t="str">
            <v>L</v>
          </cell>
          <cell r="AQ11" t="str">
            <v>8:30/11:30</v>
          </cell>
          <cell r="AS11">
            <v>1</v>
          </cell>
          <cell r="AT11">
            <v>1</v>
          </cell>
          <cell r="AU11">
            <v>1</v>
          </cell>
          <cell r="AV11">
            <v>1</v>
          </cell>
          <cell r="AW11">
            <v>1</v>
          </cell>
        </row>
        <row r="12">
          <cell r="AL12">
            <v>1</v>
          </cell>
          <cell r="AM12">
            <v>1</v>
          </cell>
          <cell r="AN12">
            <v>1</v>
          </cell>
          <cell r="AO12">
            <v>0.5</v>
          </cell>
          <cell r="AP12">
            <v>6</v>
          </cell>
          <cell r="AQ12" t="str">
            <v>17:45/20:15</v>
          </cell>
          <cell r="AS12">
            <v>5</v>
          </cell>
          <cell r="AT12">
            <v>5</v>
          </cell>
          <cell r="AU12">
            <v>5</v>
          </cell>
          <cell r="AV12">
            <v>5</v>
          </cell>
          <cell r="AW12">
            <v>5</v>
          </cell>
        </row>
        <row r="13">
          <cell r="AL13" t="str">
            <v>I</v>
          </cell>
          <cell r="AM13" t="str">
            <v>V</v>
          </cell>
          <cell r="AN13" t="str">
            <v>V</v>
          </cell>
          <cell r="AP13" t="str">
            <v>v</v>
          </cell>
          <cell r="AQ13" t="str">
            <v>10:00/15:45</v>
          </cell>
          <cell r="AR13">
            <v>0.5625</v>
          </cell>
          <cell r="AS13" t="str">
            <v>V</v>
          </cell>
          <cell r="AT13" t="str">
            <v>V</v>
          </cell>
          <cell r="AU13" t="str">
            <v>V</v>
          </cell>
          <cell r="AV13" t="str">
            <v>V</v>
          </cell>
          <cell r="AW13" t="str">
            <v>V</v>
          </cell>
        </row>
        <row r="14">
          <cell r="AL14">
            <v>5</v>
          </cell>
          <cell r="AM14">
            <v>5</v>
          </cell>
          <cell r="AN14">
            <v>5</v>
          </cell>
          <cell r="AO14">
            <v>0.47916666666666669</v>
          </cell>
          <cell r="AP14">
            <v>12</v>
          </cell>
          <cell r="AQ14" t="str">
            <v>9:00/11:45</v>
          </cell>
          <cell r="AS14">
            <v>2</v>
          </cell>
          <cell r="AT14">
            <v>2</v>
          </cell>
          <cell r="AU14">
            <v>2</v>
          </cell>
          <cell r="AV14">
            <v>2</v>
          </cell>
          <cell r="AW14">
            <v>2</v>
          </cell>
        </row>
        <row r="15">
          <cell r="AL15">
            <v>2</v>
          </cell>
          <cell r="AM15">
            <v>2</v>
          </cell>
          <cell r="AN15">
            <v>2</v>
          </cell>
          <cell r="AP15" t="str">
            <v>L</v>
          </cell>
          <cell r="AQ15" t="str">
            <v>10:00/15:45</v>
          </cell>
          <cell r="AR15">
            <v>0.54166666666666663</v>
          </cell>
          <cell r="AS15">
            <v>3</v>
          </cell>
          <cell r="AT15" t="str">
            <v>I</v>
          </cell>
          <cell r="AU15" t="str">
            <v>I</v>
          </cell>
          <cell r="AV15">
            <v>3</v>
          </cell>
          <cell r="AW15">
            <v>3</v>
          </cell>
        </row>
        <row r="16">
          <cell r="AL16">
            <v>4</v>
          </cell>
          <cell r="AM16">
            <v>4</v>
          </cell>
          <cell r="AN16">
            <v>4</v>
          </cell>
          <cell r="AP16" t="str">
            <v>L</v>
          </cell>
          <cell r="AQ16" t="str">
            <v>9:30/15:15</v>
          </cell>
          <cell r="AR16">
            <v>0.5</v>
          </cell>
          <cell r="AS16">
            <v>3</v>
          </cell>
          <cell r="AT16">
            <v>3</v>
          </cell>
          <cell r="AU16">
            <v>3</v>
          </cell>
          <cell r="AV16">
            <v>3</v>
          </cell>
          <cell r="AW16">
            <v>3</v>
          </cell>
        </row>
        <row r="17">
          <cell r="AL17">
            <v>2</v>
          </cell>
          <cell r="AM17">
            <v>2</v>
          </cell>
          <cell r="AN17">
            <v>2</v>
          </cell>
          <cell r="AP17" t="str">
            <v>L</v>
          </cell>
          <cell r="AQ17" t="str">
            <v>8:00/11:00</v>
          </cell>
          <cell r="AS17">
            <v>1</v>
          </cell>
          <cell r="AT17">
            <v>1</v>
          </cell>
          <cell r="AU17">
            <v>1</v>
          </cell>
          <cell r="AV17">
            <v>1</v>
          </cell>
          <cell r="AW17">
            <v>1</v>
          </cell>
        </row>
        <row r="18">
          <cell r="AL18">
            <v>4</v>
          </cell>
          <cell r="AM18">
            <v>4</v>
          </cell>
          <cell r="AN18">
            <v>4</v>
          </cell>
          <cell r="AP18" t="str">
            <v>L</v>
          </cell>
          <cell r="AQ18" t="str">
            <v>8:15/11:15</v>
          </cell>
          <cell r="AS18">
            <v>1</v>
          </cell>
          <cell r="AT18">
            <v>1</v>
          </cell>
          <cell r="AU18">
            <v>1</v>
          </cell>
          <cell r="AV18">
            <v>1</v>
          </cell>
          <cell r="AW18">
            <v>1</v>
          </cell>
        </row>
        <row r="19">
          <cell r="AL19">
            <v>3</v>
          </cell>
          <cell r="AM19">
            <v>3</v>
          </cell>
          <cell r="AN19">
            <v>3</v>
          </cell>
          <cell r="AP19" t="str">
            <v>L</v>
          </cell>
          <cell r="AS19">
            <v>3</v>
          </cell>
          <cell r="AT19">
            <v>3</v>
          </cell>
          <cell r="AU19">
            <v>3</v>
          </cell>
          <cell r="AV19">
            <v>3</v>
          </cell>
          <cell r="AW19">
            <v>3</v>
          </cell>
        </row>
        <row r="20">
          <cell r="AL20">
            <v>3</v>
          </cell>
          <cell r="AM20">
            <v>3</v>
          </cell>
          <cell r="AN20" t="str">
            <v>L</v>
          </cell>
          <cell r="AP20" t="str">
            <v>L</v>
          </cell>
          <cell r="AS20">
            <v>5</v>
          </cell>
          <cell r="AT20">
            <v>5</v>
          </cell>
          <cell r="AU20">
            <v>5</v>
          </cell>
          <cell r="AV20">
            <v>5</v>
          </cell>
          <cell r="AW20">
            <v>5</v>
          </cell>
        </row>
        <row r="21">
          <cell r="AL21">
            <v>5</v>
          </cell>
          <cell r="AM21">
            <v>5</v>
          </cell>
          <cell r="AN21">
            <v>1</v>
          </cell>
          <cell r="AP21" t="str">
            <v>L</v>
          </cell>
          <cell r="AS21">
            <v>1</v>
          </cell>
          <cell r="AT21">
            <v>1</v>
          </cell>
          <cell r="AU21">
            <v>1</v>
          </cell>
          <cell r="AV21">
            <v>1</v>
          </cell>
          <cell r="AW21">
            <v>1</v>
          </cell>
        </row>
        <row r="22">
          <cell r="AL22" t="str">
            <v>I</v>
          </cell>
          <cell r="AM22" t="str">
            <v>I</v>
          </cell>
          <cell r="AN22">
            <v>5</v>
          </cell>
          <cell r="AP22">
            <v>9</v>
          </cell>
          <cell r="AS22">
            <v>3</v>
          </cell>
          <cell r="AT22">
            <v>3</v>
          </cell>
          <cell r="AU22">
            <v>3</v>
          </cell>
          <cell r="AV22">
            <v>3</v>
          </cell>
          <cell r="AW22">
            <v>3</v>
          </cell>
        </row>
      </sheetData>
      <sheetData sheetId="7"/>
      <sheetData sheetId="8"/>
      <sheetData sheetId="9"/>
      <sheetData sheetId="10"/>
      <sheetData sheetId="11"/>
      <sheetData sheetId="12"/>
      <sheetData sheetId="13">
        <row r="2">
          <cell r="D2" t="str">
            <v>8:00/10:15</v>
          </cell>
          <cell r="E2">
            <v>0.5</v>
          </cell>
        </row>
        <row r="3">
          <cell r="D3" t="str">
            <v>8:15/10:30</v>
          </cell>
          <cell r="E3">
            <v>0.5625</v>
          </cell>
        </row>
        <row r="4">
          <cell r="D4" t="str">
            <v>8:30/10:45</v>
          </cell>
          <cell r="E4">
            <v>0.5625</v>
          </cell>
        </row>
        <row r="5">
          <cell r="D5" t="str">
            <v>8:45/11:00</v>
          </cell>
          <cell r="E5">
            <v>0.52083333333333337</v>
          </cell>
        </row>
        <row r="6">
          <cell r="D6" t="str">
            <v>9:00/11:15</v>
          </cell>
          <cell r="E6">
            <v>0.54166666666666663</v>
          </cell>
        </row>
        <row r="7">
          <cell r="D7" t="str">
            <v>9:15/11:30</v>
          </cell>
          <cell r="E7">
            <v>0.47916666666666669</v>
          </cell>
        </row>
        <row r="8">
          <cell r="D8" t="str">
            <v>9:30/11:45</v>
          </cell>
        </row>
        <row r="9">
          <cell r="D9" t="str">
            <v>9:45/15:00</v>
          </cell>
        </row>
        <row r="10">
          <cell r="D10" t="str">
            <v>10:00/15:15</v>
          </cell>
        </row>
        <row r="11">
          <cell r="D11" t="str">
            <v>10:15/15:30</v>
          </cell>
        </row>
        <row r="12">
          <cell r="D12" t="str">
            <v>10:30/15:45</v>
          </cell>
        </row>
        <row r="13">
          <cell r="D13" t="str">
            <v>16:00/18:00</v>
          </cell>
        </row>
        <row r="14">
          <cell r="D14" t="str">
            <v>16:15/18:15</v>
          </cell>
        </row>
        <row r="15">
          <cell r="D15" t="str">
            <v>16:30/19:00</v>
          </cell>
        </row>
        <row r="16">
          <cell r="D16" t="str">
            <v>16:45/19:15</v>
          </cell>
        </row>
        <row r="17">
          <cell r="D17" t="str">
            <v>17:00/19:30</v>
          </cell>
        </row>
        <row r="18">
          <cell r="D18" t="str">
            <v>17:15/19:45</v>
          </cell>
        </row>
        <row r="19">
          <cell r="D19" t="str">
            <v>17:30/20:00</v>
          </cell>
        </row>
        <row r="20">
          <cell r="D20" t="str">
            <v>17:45/20:15</v>
          </cell>
        </row>
        <row r="21">
          <cell r="D21">
            <v>0.5</v>
          </cell>
        </row>
      </sheetData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LANTA"/>
      <sheetName val="HORAS EXTRAS"/>
      <sheetName val="HORAS EXTRAS NOCTURNAS"/>
      <sheetName val="HORAS EXTRAS NOCTURNAS FESTIVAS"/>
      <sheetName val="DOMINICALES"/>
      <sheetName val="RECARGO NOCTURNO"/>
    </sheetNames>
    <sheetDataSet>
      <sheetData sheetId="0"/>
      <sheetData sheetId="1"/>
      <sheetData sheetId="2"/>
      <sheetData sheetId="3">
        <row r="7">
          <cell r="D7" t="str">
            <v>Camila Andrea Cárdenas Niño</v>
          </cell>
          <cell r="E7" t="str">
            <v>OPERADOR CENTRO DE CONTACTO</v>
          </cell>
          <cell r="F7"/>
          <cell r="G7"/>
          <cell r="H7">
            <v>0</v>
          </cell>
        </row>
        <row r="8">
          <cell r="D8" t="str">
            <v>Claudia Patricia Florez Gomez</v>
          </cell>
          <cell r="E8" t="str">
            <v>OPERADOR CENTRO DE CONTACTO</v>
          </cell>
          <cell r="F8"/>
          <cell r="G8"/>
          <cell r="H8">
            <v>0</v>
          </cell>
        </row>
        <row r="9">
          <cell r="D9" t="str">
            <v>Daniel Alejandro Mayorga Vanegas</v>
          </cell>
          <cell r="E9" t="str">
            <v>OPERADOR CENTRO DE CONTACTO</v>
          </cell>
          <cell r="F9"/>
          <cell r="G9"/>
          <cell r="H9">
            <v>0</v>
          </cell>
        </row>
        <row r="10">
          <cell r="D10" t="str">
            <v>Diana Esmeralda Campos Casabuenas</v>
          </cell>
          <cell r="E10" t="str">
            <v>OPERADOR CENTRO DE CONTACTO</v>
          </cell>
          <cell r="F10"/>
          <cell r="G10"/>
          <cell r="H10">
            <v>0</v>
          </cell>
        </row>
        <row r="11">
          <cell r="D11" t="str">
            <v>Diana Maria Guarnizo Ramos</v>
          </cell>
          <cell r="E11" t="str">
            <v>OPERADOR CENTRO DE CONTACTO</v>
          </cell>
          <cell r="F11">
            <v>1</v>
          </cell>
          <cell r="G11"/>
          <cell r="H11">
            <v>1</v>
          </cell>
        </row>
        <row r="12">
          <cell r="D12" t="str">
            <v>Gladys Gonzalez Ruiz</v>
          </cell>
          <cell r="E12" t="str">
            <v>OPERADOR CENTRO DE CONTACTO</v>
          </cell>
          <cell r="F12"/>
          <cell r="G12"/>
          <cell r="H12">
            <v>0</v>
          </cell>
        </row>
        <row r="13">
          <cell r="D13" t="str">
            <v>Hellen Sofia Carrillo Godoy</v>
          </cell>
          <cell r="E13" t="str">
            <v>OPERADOR CENTRO DE CONTACTO</v>
          </cell>
          <cell r="F13">
            <v>1</v>
          </cell>
          <cell r="G13">
            <v>1</v>
          </cell>
          <cell r="H13">
            <v>2</v>
          </cell>
        </row>
        <row r="14">
          <cell r="D14" t="str">
            <v>Jenifer Paola Baquero Linares</v>
          </cell>
          <cell r="E14" t="str">
            <v>OPERADOR CENTRO DE CONTACTO</v>
          </cell>
          <cell r="F14"/>
          <cell r="G14">
            <v>1</v>
          </cell>
          <cell r="H14">
            <v>1</v>
          </cell>
        </row>
        <row r="15">
          <cell r="D15" t="str">
            <v>Jonathan Steveen Espinosa Rubio</v>
          </cell>
          <cell r="E15" t="str">
            <v>OPERADOR CENTRO DE CONTACTO</v>
          </cell>
          <cell r="F15"/>
          <cell r="G15"/>
          <cell r="H15">
            <v>0</v>
          </cell>
        </row>
        <row r="16">
          <cell r="D16" t="str">
            <v>July Andrea Herreño Gonzalez</v>
          </cell>
          <cell r="E16" t="str">
            <v>OPERADOR CENTRO DE CONTACTO</v>
          </cell>
          <cell r="F16"/>
          <cell r="G16"/>
          <cell r="H16">
            <v>0</v>
          </cell>
        </row>
        <row r="17">
          <cell r="D17" t="str">
            <v>Katherine Lopez Guerrero</v>
          </cell>
          <cell r="E17" t="str">
            <v>OPERADOR CENTRO DE CONTACTO</v>
          </cell>
          <cell r="F17"/>
          <cell r="G17"/>
          <cell r="H17">
            <v>0</v>
          </cell>
        </row>
        <row r="18">
          <cell r="D18" t="str">
            <v>Luisa Fernanda Suarez Suarez</v>
          </cell>
          <cell r="E18" t="str">
            <v>OPERADOR CENTRO DE CONTACTO</v>
          </cell>
          <cell r="F18"/>
          <cell r="G18"/>
          <cell r="H18">
            <v>0</v>
          </cell>
        </row>
        <row r="19">
          <cell r="D19" t="str">
            <v>Maria Alexandra Gomez Mahecha</v>
          </cell>
          <cell r="E19" t="str">
            <v>OPERADOR CENTRO DE CONTACTO</v>
          </cell>
          <cell r="F19"/>
          <cell r="G19"/>
          <cell r="H19">
            <v>0</v>
          </cell>
        </row>
        <row r="20">
          <cell r="D20" t="str">
            <v>Maryely Hernandez Hernandez</v>
          </cell>
          <cell r="E20" t="str">
            <v>OPERADOR CENTRO DE CONTACTO</v>
          </cell>
          <cell r="F20"/>
          <cell r="G20"/>
          <cell r="H20">
            <v>0</v>
          </cell>
        </row>
        <row r="21">
          <cell r="D21" t="str">
            <v>Oscar Mauricio Alfonso Hernandez</v>
          </cell>
          <cell r="E21" t="str">
            <v>OPERADOR CENTRO DE CONTACTO</v>
          </cell>
          <cell r="F21"/>
          <cell r="G21"/>
          <cell r="H21">
            <v>0</v>
          </cell>
        </row>
        <row r="22">
          <cell r="D22" t="str">
            <v>Patricia Garcia Torres</v>
          </cell>
          <cell r="E22" t="str">
            <v>OPERADOR CENTRO DE CONTACTO</v>
          </cell>
          <cell r="F22"/>
          <cell r="G22"/>
          <cell r="H22">
            <v>0</v>
          </cell>
        </row>
        <row r="23">
          <cell r="D23" t="str">
            <v>Jefferson Javier Lugo Coronado</v>
          </cell>
          <cell r="E23" t="str">
            <v>GESTOR DE FORMACION Y CALIDAD</v>
          </cell>
          <cell r="F23"/>
          <cell r="G23"/>
          <cell r="H23">
            <v>0</v>
          </cell>
        </row>
        <row r="24">
          <cell r="D24" t="str">
            <v>Sandra Milena Rubiano Martinez</v>
          </cell>
          <cell r="E24" t="str">
            <v>SUPERVISOR CENTRO DE CONTACTO</v>
          </cell>
          <cell r="F24"/>
          <cell r="G24">
            <v>1</v>
          </cell>
          <cell r="H24">
            <v>1</v>
          </cell>
        </row>
        <row r="25">
          <cell r="D25" t="str">
            <v>Rociris Helena Puerta Ayala</v>
          </cell>
          <cell r="E25" t="str">
            <v>SUPERVISOR CENTRO DE CONTACTO</v>
          </cell>
          <cell r="F25"/>
          <cell r="G25"/>
          <cell r="H25">
            <v>0</v>
          </cell>
        </row>
        <row r="26">
          <cell r="D26" t="str">
            <v>Tania Alejandra Agudelo Ruiz</v>
          </cell>
          <cell r="E26" t="str">
            <v>SUPERVISOR CENTRO DE CONTACTO</v>
          </cell>
          <cell r="F26">
            <v>1</v>
          </cell>
          <cell r="G26"/>
          <cell r="H26">
            <v>1</v>
          </cell>
        </row>
        <row r="27">
          <cell r="D27" t="str">
            <v>Oscar Ariel Acuña Sanchez</v>
          </cell>
          <cell r="E27" t="str">
            <v>COORDINADOR DE CENTRO DE CONTACTO</v>
          </cell>
          <cell r="F27"/>
          <cell r="G27"/>
          <cell r="H27">
            <v>0</v>
          </cell>
        </row>
      </sheetData>
      <sheetData sheetId="4">
        <row r="7">
          <cell r="D7" t="str">
            <v>Camila Andrea Cárdenas Niño</v>
          </cell>
          <cell r="E7" t="str">
            <v>OPERADOR CENTRO DE CONTACTO</v>
          </cell>
          <cell r="F7"/>
          <cell r="G7"/>
          <cell r="H7">
            <v>0</v>
          </cell>
        </row>
        <row r="8">
          <cell r="D8" t="str">
            <v>Claudia Patricia Florez Gomez</v>
          </cell>
          <cell r="E8" t="str">
            <v>OPERADOR CENTRO DE CONTACTO</v>
          </cell>
          <cell r="F8">
            <v>7</v>
          </cell>
          <cell r="G8"/>
          <cell r="H8">
            <v>7</v>
          </cell>
        </row>
        <row r="9">
          <cell r="D9" t="str">
            <v>Daniel Alejandro Mayorga Vanegas</v>
          </cell>
          <cell r="E9" t="str">
            <v>OPERADOR CENTRO DE CONTACTO</v>
          </cell>
          <cell r="F9"/>
          <cell r="G9"/>
          <cell r="H9">
            <v>0</v>
          </cell>
        </row>
        <row r="10">
          <cell r="D10" t="str">
            <v>Diana Esmeralda Campos Casabuenas</v>
          </cell>
          <cell r="E10" t="str">
            <v>OPERADOR CENTRO DE CONTACTO</v>
          </cell>
          <cell r="F10"/>
          <cell r="G10">
            <v>7</v>
          </cell>
          <cell r="H10">
            <v>7</v>
          </cell>
        </row>
        <row r="11">
          <cell r="D11" t="str">
            <v>Diana Maria Guarnizo Ramos</v>
          </cell>
          <cell r="E11" t="str">
            <v>OPERADOR CENTRO DE CONTACTO</v>
          </cell>
          <cell r="F11">
            <v>6</v>
          </cell>
          <cell r="G11">
            <v>7</v>
          </cell>
          <cell r="H11">
            <v>13</v>
          </cell>
        </row>
        <row r="12">
          <cell r="D12" t="str">
            <v>Gladys Gonzalez Ruiz</v>
          </cell>
          <cell r="E12" t="str">
            <v>OPERADOR CENTRO DE CONTACTO</v>
          </cell>
          <cell r="F12"/>
          <cell r="G12">
            <v>7</v>
          </cell>
          <cell r="H12">
            <v>7</v>
          </cell>
        </row>
        <row r="13">
          <cell r="D13" t="str">
            <v>Hellen Sofia Carrillo Godoy</v>
          </cell>
          <cell r="E13" t="str">
            <v>OPERADOR CENTRO DE CONTACTO</v>
          </cell>
          <cell r="F13">
            <v>6</v>
          </cell>
          <cell r="G13">
            <v>6</v>
          </cell>
          <cell r="H13">
            <v>12</v>
          </cell>
        </row>
        <row r="14">
          <cell r="D14" t="str">
            <v>Jenifer Paola Baquero Linares</v>
          </cell>
          <cell r="E14" t="str">
            <v>OPERADOR CENTRO DE CONTACTO</v>
          </cell>
          <cell r="F14">
            <v>7</v>
          </cell>
          <cell r="G14">
            <v>6</v>
          </cell>
          <cell r="H14">
            <v>13</v>
          </cell>
        </row>
        <row r="15">
          <cell r="D15" t="str">
            <v>Jonathan Steveen Espinosa Rubio</v>
          </cell>
          <cell r="E15" t="str">
            <v>OPERADOR CENTRO DE CONTACTO</v>
          </cell>
          <cell r="F15"/>
          <cell r="G15">
            <v>4</v>
          </cell>
          <cell r="H15">
            <v>4</v>
          </cell>
        </row>
        <row r="16">
          <cell r="D16" t="str">
            <v>July Andrea Herreño Gonzalez</v>
          </cell>
          <cell r="E16" t="str">
            <v>OPERADOR CENTRO DE CONTACTO</v>
          </cell>
          <cell r="F16">
            <v>7</v>
          </cell>
          <cell r="G16"/>
          <cell r="H16">
            <v>7</v>
          </cell>
        </row>
        <row r="17">
          <cell r="D17" t="str">
            <v>Katherine Lopez Guerrero</v>
          </cell>
          <cell r="E17" t="str">
            <v>OPERADOR CENTRO DE CONTACTO</v>
          </cell>
          <cell r="F17"/>
          <cell r="G17"/>
          <cell r="H17">
            <v>0</v>
          </cell>
        </row>
        <row r="18">
          <cell r="D18" t="str">
            <v>Luisa Fernanda Suarez Suarez</v>
          </cell>
          <cell r="E18" t="str">
            <v>OPERADOR CENTRO DE CONTACTO</v>
          </cell>
          <cell r="F18">
            <v>7</v>
          </cell>
          <cell r="G18">
            <v>7</v>
          </cell>
          <cell r="H18">
            <v>14</v>
          </cell>
        </row>
        <row r="19">
          <cell r="D19" t="str">
            <v>Maria Alexandra Gomez Mahecha</v>
          </cell>
          <cell r="E19" t="str">
            <v>OPERADOR CENTRO DE CONTACTO</v>
          </cell>
          <cell r="F19"/>
          <cell r="G19"/>
          <cell r="H19">
            <v>0</v>
          </cell>
        </row>
        <row r="20">
          <cell r="D20" t="str">
            <v>Maryely Hernandez Hernandez</v>
          </cell>
          <cell r="E20" t="str">
            <v>OPERADOR CENTRO DE CONTACTO</v>
          </cell>
          <cell r="F20"/>
          <cell r="G20"/>
          <cell r="H20">
            <v>0</v>
          </cell>
        </row>
        <row r="21">
          <cell r="D21" t="str">
            <v>Oscar Mauricio Alfonso Hernandez</v>
          </cell>
          <cell r="E21" t="str">
            <v>OPERADOR CENTRO DE CONTACTO</v>
          </cell>
          <cell r="F21"/>
          <cell r="G21"/>
          <cell r="H21">
            <v>0</v>
          </cell>
        </row>
        <row r="22">
          <cell r="D22" t="str">
            <v>Patricia Garcia Torres</v>
          </cell>
          <cell r="E22" t="str">
            <v>OPERADOR CENTRO DE CONTACTO</v>
          </cell>
          <cell r="F22"/>
          <cell r="G22"/>
          <cell r="H22">
            <v>0</v>
          </cell>
        </row>
        <row r="23">
          <cell r="D23" t="str">
            <v>Jefferson Javier Lugo Coronado</v>
          </cell>
          <cell r="E23" t="str">
            <v>GESTOR DE FORMACION Y CALIDAD</v>
          </cell>
          <cell r="F23"/>
          <cell r="G23"/>
          <cell r="H23">
            <v>0</v>
          </cell>
        </row>
        <row r="24">
          <cell r="D24" t="str">
            <v>Sandra Milena Rubiano Martinez</v>
          </cell>
          <cell r="E24" t="str">
            <v>SUPERVISOR CENTRO DE CONTACTO</v>
          </cell>
          <cell r="F24">
            <v>6</v>
          </cell>
          <cell r="G24">
            <v>6</v>
          </cell>
          <cell r="H24">
            <v>12</v>
          </cell>
        </row>
        <row r="25">
          <cell r="D25" t="str">
            <v>Rociris Helena Puerta Ayala</v>
          </cell>
          <cell r="E25" t="str">
            <v>SUPERVISOR CENTRO DE CONTACTO</v>
          </cell>
          <cell r="F25"/>
          <cell r="G25"/>
          <cell r="H25">
            <v>0</v>
          </cell>
        </row>
        <row r="26">
          <cell r="D26" t="str">
            <v>Tania Alejandra Agudelo Ruiz</v>
          </cell>
          <cell r="E26" t="str">
            <v>SUPERVISOR CENTRO DE CONTACTO</v>
          </cell>
          <cell r="F26">
            <v>6</v>
          </cell>
          <cell r="G26">
            <v>6</v>
          </cell>
          <cell r="H26">
            <v>12</v>
          </cell>
        </row>
        <row r="27">
          <cell r="D27" t="str">
            <v>Oscar Ariel Acuña Sanchez</v>
          </cell>
          <cell r="E27" t="str">
            <v>COORDINADOR DE CENTRO DE CONTACTO</v>
          </cell>
          <cell r="F27"/>
          <cell r="G27"/>
          <cell r="H27">
            <v>0</v>
          </cell>
        </row>
      </sheetData>
      <sheetData sheetId="5">
        <row r="6">
          <cell r="C6" t="str">
            <v>Camila Andrea Cárdenas Niño</v>
          </cell>
          <cell r="D6" t="str">
            <v>OPERADOR CENTRO DE CONTACTO</v>
          </cell>
          <cell r="E6"/>
          <cell r="F6"/>
          <cell r="G6"/>
          <cell r="H6">
            <v>1.5</v>
          </cell>
          <cell r="I6">
            <v>1.5</v>
          </cell>
          <cell r="J6"/>
          <cell r="K6">
            <v>1.5</v>
          </cell>
          <cell r="L6">
            <v>1.5</v>
          </cell>
          <cell r="M6">
            <v>1.5</v>
          </cell>
          <cell r="N6"/>
          <cell r="O6"/>
          <cell r="P6"/>
          <cell r="Q6">
            <v>7.5</v>
          </cell>
        </row>
        <row r="7">
          <cell r="C7" t="str">
            <v>Claudia Patricia Florez Gomez</v>
          </cell>
          <cell r="D7" t="str">
            <v>OPERADOR CENTRO DE CONTACTO</v>
          </cell>
          <cell r="E7"/>
          <cell r="F7"/>
          <cell r="G7"/>
          <cell r="H7">
            <v>3</v>
          </cell>
          <cell r="I7">
            <v>3</v>
          </cell>
          <cell r="J7">
            <v>3</v>
          </cell>
          <cell r="K7">
            <v>3</v>
          </cell>
          <cell r="L7">
            <v>3</v>
          </cell>
          <cell r="M7">
            <v>3</v>
          </cell>
          <cell r="N7"/>
          <cell r="O7"/>
          <cell r="P7"/>
          <cell r="Q7">
            <v>18</v>
          </cell>
        </row>
        <row r="8">
          <cell r="C8" t="str">
            <v>Daniel Alejandro Mayorga Vanegas</v>
          </cell>
          <cell r="D8" t="str">
            <v>OPERADOR CENTRO DE CONTACTO</v>
          </cell>
          <cell r="E8"/>
          <cell r="F8"/>
          <cell r="G8"/>
          <cell r="H8"/>
          <cell r="I8"/>
          <cell r="J8"/>
          <cell r="K8"/>
          <cell r="L8"/>
          <cell r="M8"/>
          <cell r="N8"/>
          <cell r="O8">
            <v>1.5</v>
          </cell>
          <cell r="P8">
            <v>1.5</v>
          </cell>
          <cell r="Q8">
            <v>3</v>
          </cell>
        </row>
        <row r="9">
          <cell r="C9" t="str">
            <v>Diana Esmeralda Campos Casabuenas</v>
          </cell>
          <cell r="D9" t="str">
            <v>OPERADOR CENTRO DE CONTACTO</v>
          </cell>
          <cell r="E9"/>
          <cell r="F9"/>
          <cell r="G9"/>
          <cell r="H9"/>
          <cell r="I9"/>
          <cell r="J9"/>
          <cell r="K9"/>
          <cell r="L9"/>
          <cell r="M9"/>
          <cell r="N9">
            <v>1.5</v>
          </cell>
          <cell r="O9">
            <v>1.5</v>
          </cell>
          <cell r="P9">
            <v>1.5</v>
          </cell>
          <cell r="Q9">
            <v>4.5</v>
          </cell>
        </row>
        <row r="10">
          <cell r="C10" t="str">
            <v>Diana Maria Guarnizo Ramos</v>
          </cell>
          <cell r="D10" t="str">
            <v>OPERADOR CENTRO DE CONTACTO</v>
          </cell>
          <cell r="E10"/>
          <cell r="F10"/>
          <cell r="G10"/>
          <cell r="H10">
            <v>1.5</v>
          </cell>
          <cell r="I10">
            <v>1.5</v>
          </cell>
          <cell r="J10">
            <v>1.5</v>
          </cell>
          <cell r="K10">
            <v>1.5</v>
          </cell>
          <cell r="L10">
            <v>1.5</v>
          </cell>
          <cell r="M10">
            <v>1.5</v>
          </cell>
          <cell r="N10"/>
          <cell r="O10"/>
          <cell r="P10"/>
          <cell r="Q10">
            <v>9</v>
          </cell>
        </row>
        <row r="11">
          <cell r="C11" t="str">
            <v>Gladys Gonzalez Ruiz</v>
          </cell>
          <cell r="D11" t="str">
            <v>OPERADOR CENTRO DE CONTACTO</v>
          </cell>
          <cell r="E11"/>
          <cell r="F11"/>
          <cell r="G11"/>
          <cell r="H11">
            <v>1.5</v>
          </cell>
          <cell r="I11">
            <v>1.5</v>
          </cell>
          <cell r="J11">
            <v>1.5</v>
          </cell>
          <cell r="K11">
            <v>1.5</v>
          </cell>
          <cell r="L11">
            <v>1.5</v>
          </cell>
          <cell r="M11">
            <v>1.5</v>
          </cell>
          <cell r="N11"/>
          <cell r="O11"/>
          <cell r="P11"/>
          <cell r="Q11">
            <v>9</v>
          </cell>
        </row>
        <row r="12">
          <cell r="C12" t="str">
            <v>Hellen Sofia Carrillo Godoy</v>
          </cell>
          <cell r="D12" t="str">
            <v>OPERADOR CENTRO DE CONTACTO</v>
          </cell>
          <cell r="E12">
            <v>3</v>
          </cell>
          <cell r="F12">
            <v>3</v>
          </cell>
          <cell r="G12">
            <v>3</v>
          </cell>
          <cell r="H12"/>
          <cell r="I12"/>
          <cell r="J12"/>
          <cell r="K12"/>
          <cell r="L12"/>
          <cell r="M12"/>
          <cell r="N12"/>
          <cell r="O12"/>
          <cell r="P12"/>
          <cell r="Q12">
            <v>9</v>
          </cell>
        </row>
        <row r="13">
          <cell r="C13" t="str">
            <v>Jenifer Paola Baquero Linares</v>
          </cell>
          <cell r="D13" t="str">
            <v>OPERADOR CENTRO DE CONTACTO</v>
          </cell>
          <cell r="E13"/>
          <cell r="F13"/>
          <cell r="G13"/>
          <cell r="H13">
            <v>1.5</v>
          </cell>
          <cell r="I13">
            <v>1.5</v>
          </cell>
          <cell r="J13">
            <v>1.5</v>
          </cell>
          <cell r="K13">
            <v>1.5</v>
          </cell>
          <cell r="L13">
            <v>1.5</v>
          </cell>
          <cell r="M13">
            <v>1.5</v>
          </cell>
          <cell r="N13"/>
          <cell r="O13"/>
          <cell r="P13"/>
          <cell r="Q13">
            <v>9</v>
          </cell>
        </row>
        <row r="14">
          <cell r="C14" t="str">
            <v>Jonathan Steveen Espinosa Rubio</v>
          </cell>
          <cell r="D14" t="str">
            <v>OPERADOR CENTRO DE CONTACTO</v>
          </cell>
          <cell r="E14">
            <v>1.5</v>
          </cell>
          <cell r="F14">
            <v>1.5</v>
          </cell>
          <cell r="G14">
            <v>1.5</v>
          </cell>
          <cell r="H14"/>
          <cell r="I14"/>
          <cell r="J14"/>
          <cell r="K14"/>
          <cell r="L14"/>
          <cell r="M14"/>
          <cell r="N14"/>
          <cell r="O14">
            <v>3</v>
          </cell>
          <cell r="P14">
            <v>3</v>
          </cell>
          <cell r="Q14">
            <v>10.5</v>
          </cell>
        </row>
        <row r="15">
          <cell r="C15" t="str">
            <v>July Andrea Herreño Gonzalez</v>
          </cell>
          <cell r="D15" t="str">
            <v>OPERADOR CENTRO DE CONTACTO</v>
          </cell>
          <cell r="E15"/>
          <cell r="F15"/>
          <cell r="G15"/>
          <cell r="H15">
            <v>3</v>
          </cell>
          <cell r="I15">
            <v>3</v>
          </cell>
          <cell r="J15">
            <v>3</v>
          </cell>
          <cell r="K15">
            <v>3</v>
          </cell>
          <cell r="L15">
            <v>3</v>
          </cell>
          <cell r="M15">
            <v>3</v>
          </cell>
          <cell r="N15"/>
          <cell r="O15"/>
          <cell r="P15"/>
          <cell r="Q15">
            <v>18</v>
          </cell>
        </row>
        <row r="16">
          <cell r="C16" t="str">
            <v>Katherine Lopez Guerrero</v>
          </cell>
          <cell r="D16" t="str">
            <v>OPERADOR CENTRO DE CONTACTO</v>
          </cell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>
            <v>1.5</v>
          </cell>
          <cell r="Q16">
            <v>1.5</v>
          </cell>
        </row>
        <row r="17">
          <cell r="C17" t="str">
            <v>Luisa Fernanda Suarez Suarez</v>
          </cell>
          <cell r="D17" t="str">
            <v>OPERADOR CENTRO DE CONTACTO</v>
          </cell>
          <cell r="E17">
            <v>3</v>
          </cell>
          <cell r="F17">
            <v>3</v>
          </cell>
          <cell r="G17">
            <v>3</v>
          </cell>
          <cell r="H17"/>
          <cell r="I17"/>
          <cell r="J17"/>
          <cell r="K17"/>
          <cell r="L17"/>
          <cell r="M17"/>
          <cell r="N17">
            <v>3</v>
          </cell>
          <cell r="O17">
            <v>3</v>
          </cell>
          <cell r="P17">
            <v>3</v>
          </cell>
          <cell r="Q17">
            <v>18</v>
          </cell>
        </row>
        <row r="18">
          <cell r="C18" t="str">
            <v>Maria Alexandra Gomez Mahecha</v>
          </cell>
          <cell r="D18" t="str">
            <v>OPERADOR CENTRO DE CONTACTO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>
            <v>0</v>
          </cell>
        </row>
        <row r="19">
          <cell r="C19" t="str">
            <v>Maryely Hernandez Hernandez</v>
          </cell>
          <cell r="D19" t="str">
            <v>OPERADOR CENTRO DE CONTACTO</v>
          </cell>
          <cell r="E19">
            <v>1.5</v>
          </cell>
          <cell r="F19">
            <v>1.5</v>
          </cell>
          <cell r="G19">
            <v>1.5</v>
          </cell>
          <cell r="H19"/>
          <cell r="I19"/>
          <cell r="J19"/>
          <cell r="K19"/>
          <cell r="L19"/>
          <cell r="M19"/>
          <cell r="N19">
            <v>3</v>
          </cell>
          <cell r="O19">
            <v>1.5</v>
          </cell>
          <cell r="P19">
            <v>1.5</v>
          </cell>
          <cell r="Q19">
            <v>10.5</v>
          </cell>
        </row>
        <row r="20">
          <cell r="C20" t="str">
            <v>Oscar Mauricio Alfonso Hernandez</v>
          </cell>
          <cell r="D20" t="str">
            <v>OPERADOR CENTRO DE CONTACTO</v>
          </cell>
          <cell r="E20"/>
          <cell r="F20"/>
          <cell r="G20"/>
          <cell r="H20"/>
          <cell r="I20"/>
          <cell r="J20"/>
          <cell r="K20"/>
          <cell r="L20"/>
          <cell r="M20"/>
          <cell r="N20">
            <v>1.5</v>
          </cell>
          <cell r="O20">
            <v>1.5</v>
          </cell>
          <cell r="P20">
            <v>1.5</v>
          </cell>
          <cell r="Q20">
            <v>4.5</v>
          </cell>
        </row>
        <row r="21">
          <cell r="C21" t="str">
            <v>Patricia Garcia Torres</v>
          </cell>
          <cell r="D21" t="str">
            <v>OPERADOR CENTRO DE CONTACTO</v>
          </cell>
          <cell r="E21">
            <v>1.5</v>
          </cell>
          <cell r="F21">
            <v>1.5</v>
          </cell>
          <cell r="G21">
            <v>1.5</v>
          </cell>
          <cell r="H21"/>
          <cell r="I21"/>
          <cell r="J21"/>
          <cell r="K21"/>
          <cell r="L21"/>
          <cell r="M21"/>
          <cell r="N21">
            <v>3</v>
          </cell>
          <cell r="O21">
            <v>3</v>
          </cell>
          <cell r="P21">
            <v>3</v>
          </cell>
          <cell r="Q21">
            <v>13.5</v>
          </cell>
        </row>
        <row r="22">
          <cell r="C22" t="str">
            <v>Jefferson Javier Lugo Coronado</v>
          </cell>
          <cell r="D22" t="str">
            <v>GESTOR DE FORMACION Y CALIDAD</v>
          </cell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>
            <v>0</v>
          </cell>
        </row>
        <row r="23">
          <cell r="C23" t="str">
            <v>Sandra Milena Rubiano Martinez</v>
          </cell>
          <cell r="D23" t="str">
            <v>SUPERVISOR CENTRO DE CONTACTO</v>
          </cell>
          <cell r="E23">
            <v>3</v>
          </cell>
          <cell r="F23">
            <v>3</v>
          </cell>
          <cell r="G23"/>
          <cell r="H23"/>
          <cell r="I23"/>
          <cell r="J23"/>
          <cell r="K23"/>
          <cell r="L23"/>
          <cell r="M23">
            <v>3</v>
          </cell>
          <cell r="N23"/>
          <cell r="O23"/>
          <cell r="P23"/>
          <cell r="Q23">
            <v>9</v>
          </cell>
        </row>
        <row r="24">
          <cell r="C24" t="str">
            <v>Rociris Helena Puerta Ayala</v>
          </cell>
          <cell r="D24" t="str">
            <v>SUPERVISOR CENTRO DE CONTACTO</v>
          </cell>
          <cell r="E24"/>
          <cell r="F24"/>
          <cell r="G24"/>
          <cell r="H24">
            <v>3</v>
          </cell>
          <cell r="I24">
            <v>3</v>
          </cell>
          <cell r="J24">
            <v>3</v>
          </cell>
          <cell r="K24">
            <v>3</v>
          </cell>
          <cell r="L24">
            <v>3</v>
          </cell>
          <cell r="M24"/>
          <cell r="N24"/>
          <cell r="O24"/>
          <cell r="P24"/>
          <cell r="Q24">
            <v>15</v>
          </cell>
        </row>
        <row r="25">
          <cell r="C25" t="str">
            <v>Tania Alejandra Agudelo Ruiz</v>
          </cell>
          <cell r="D25" t="str">
            <v>SUPERVISOR CENTRO DE CONTACTO</v>
          </cell>
          <cell r="E25"/>
          <cell r="F25"/>
          <cell r="G25">
            <v>3</v>
          </cell>
          <cell r="H25"/>
          <cell r="I25"/>
          <cell r="J25"/>
          <cell r="K25"/>
          <cell r="L25"/>
          <cell r="M25"/>
          <cell r="N25">
            <v>3</v>
          </cell>
          <cell r="O25">
            <v>3</v>
          </cell>
          <cell r="P25">
            <v>3</v>
          </cell>
          <cell r="Q25">
            <v>12</v>
          </cell>
        </row>
        <row r="26">
          <cell r="C26" t="str">
            <v>Oscar Ariel Acuña Sanchez</v>
          </cell>
          <cell r="D26" t="str">
            <v>COORDINADOR DE CENTRO DE CONTACTO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7zNBpSryWEi2qB2wN7ZA4j95qM5UPUZBnGUudcKCtzkwbvASfFdBQbswXejWfOcR" itemId="01XB6VD2PN6SQVNDM5CRDZFNIX6I3TGUWW">
      <xxl21:absoluteUrl r:id="rId3"/>
    </xxl21:alternateUrls>
    <sheetNames>
      <sheetName val="PLANTA"/>
      <sheetName val="HORAS EXTRAS"/>
      <sheetName val="HORAS EXTRAS NOCTURNAS"/>
      <sheetName val="HORAS EXTRAS NOCTURNAS FESTIVAS"/>
      <sheetName val="DOMINICALES"/>
      <sheetName val="RECARGO NOCTURNO"/>
    </sheetNames>
    <sheetDataSet>
      <sheetData sheetId="0"/>
      <sheetData sheetId="1"/>
      <sheetData sheetId="2"/>
      <sheetData sheetId="3">
        <row r="7">
          <cell r="D7" t="str">
            <v>Camila Andrea Cárdenas Niño</v>
          </cell>
          <cell r="E7" t="str">
            <v>OPERADOR CENTRO DE CONTACTO</v>
          </cell>
          <cell r="F7"/>
          <cell r="G7"/>
          <cell r="H7"/>
          <cell r="I7"/>
          <cell r="J7">
            <v>0</v>
          </cell>
        </row>
        <row r="8">
          <cell r="D8" t="str">
            <v>Claudia Patricia Florez Gomez</v>
          </cell>
          <cell r="E8" t="str">
            <v>OPERADOR CENTRO DE CONTACTO</v>
          </cell>
          <cell r="F8"/>
          <cell r="G8"/>
          <cell r="H8"/>
          <cell r="I8">
            <v>1</v>
          </cell>
          <cell r="J8">
            <v>1</v>
          </cell>
        </row>
        <row r="9">
          <cell r="D9" t="str">
            <v>Daniel Alejandro Mayorga Vanegas</v>
          </cell>
          <cell r="E9" t="str">
            <v>OPERADOR CENTRO DE CONTACTO</v>
          </cell>
          <cell r="F9"/>
          <cell r="G9">
            <v>1</v>
          </cell>
          <cell r="H9"/>
          <cell r="I9"/>
          <cell r="J9">
            <v>1</v>
          </cell>
        </row>
        <row r="10">
          <cell r="D10" t="str">
            <v>Diana Esmeralda Campos Casabuenas</v>
          </cell>
          <cell r="E10" t="str">
            <v>OPERADOR CENTRO DE CONTACTO</v>
          </cell>
          <cell r="F10"/>
          <cell r="G10">
            <v>1</v>
          </cell>
          <cell r="H10"/>
          <cell r="I10"/>
          <cell r="J10">
            <v>1</v>
          </cell>
        </row>
        <row r="11">
          <cell r="D11" t="str">
            <v>Diana Maria Guarnizo Ramos</v>
          </cell>
          <cell r="E11" t="str">
            <v>OPERADOR CENTRO DE CONTACTO</v>
          </cell>
          <cell r="F11"/>
          <cell r="G11">
            <v>1</v>
          </cell>
          <cell r="H11"/>
          <cell r="I11"/>
          <cell r="J11">
            <v>1</v>
          </cell>
        </row>
        <row r="12">
          <cell r="D12" t="str">
            <v>Gladys Gonzalez Ruiz</v>
          </cell>
          <cell r="E12" t="str">
            <v>OPERADOR CENTRO DE CONTACTO</v>
          </cell>
          <cell r="F12"/>
          <cell r="G12"/>
          <cell r="H12"/>
          <cell r="I12"/>
          <cell r="J12">
            <v>0</v>
          </cell>
        </row>
        <row r="13">
          <cell r="D13" t="str">
            <v>Hellen Sofia Carrillo Godoy</v>
          </cell>
          <cell r="E13" t="str">
            <v>OPERADOR CENTRO DE CONTACTO</v>
          </cell>
          <cell r="F13"/>
          <cell r="G13"/>
          <cell r="H13"/>
          <cell r="I13">
            <v>1</v>
          </cell>
          <cell r="J13">
            <v>1</v>
          </cell>
        </row>
        <row r="14">
          <cell r="D14" t="str">
            <v>Jenifer Paola Baquero Linares</v>
          </cell>
          <cell r="E14" t="str">
            <v>OPERADOR CENTRO DE CONTACTO</v>
          </cell>
          <cell r="F14"/>
          <cell r="G14"/>
          <cell r="H14">
            <v>1</v>
          </cell>
          <cell r="I14"/>
          <cell r="J14">
            <v>1</v>
          </cell>
        </row>
        <row r="15">
          <cell r="D15" t="str">
            <v>Jonathan Steveen Espinosa Rubio</v>
          </cell>
          <cell r="E15" t="str">
            <v>OPERADOR CENTRO DE CONTACTO</v>
          </cell>
          <cell r="F15"/>
          <cell r="G15"/>
          <cell r="H15"/>
          <cell r="I15">
            <v>1</v>
          </cell>
          <cell r="J15">
            <v>1</v>
          </cell>
        </row>
        <row r="16">
          <cell r="D16" t="str">
            <v>July Andrea Herreño Gonzalez</v>
          </cell>
          <cell r="E16" t="str">
            <v>OPERADOR CENTRO DE CONTACTO</v>
          </cell>
          <cell r="F16"/>
          <cell r="G16"/>
          <cell r="H16"/>
          <cell r="I16"/>
          <cell r="J16">
            <v>0</v>
          </cell>
        </row>
        <row r="17">
          <cell r="D17" t="str">
            <v>Katherine Lopez Guerrero</v>
          </cell>
          <cell r="E17" t="str">
            <v>OPERADOR CENTRO DE CONTACTO</v>
          </cell>
          <cell r="F17"/>
          <cell r="G17"/>
          <cell r="H17">
            <v>1</v>
          </cell>
          <cell r="I17"/>
          <cell r="J17">
            <v>1</v>
          </cell>
        </row>
        <row r="18">
          <cell r="D18" t="str">
            <v>Luisa Fernanda Suarez Suarez</v>
          </cell>
          <cell r="E18" t="str">
            <v>OPERADOR CENTRO DE CONTACTO</v>
          </cell>
          <cell r="F18">
            <v>1</v>
          </cell>
          <cell r="G18"/>
          <cell r="H18"/>
          <cell r="I18"/>
          <cell r="J18">
            <v>1</v>
          </cell>
        </row>
        <row r="19">
          <cell r="D19" t="str">
            <v>Maria Alexandra Gomez Mahecha</v>
          </cell>
          <cell r="E19" t="str">
            <v>OPERADOR CENTRO DE CONTACTO</v>
          </cell>
          <cell r="F19"/>
          <cell r="G19"/>
          <cell r="H19"/>
          <cell r="I19"/>
          <cell r="J19">
            <v>0</v>
          </cell>
        </row>
        <row r="20">
          <cell r="D20" t="str">
            <v>Maryely Hernandez Hernandez</v>
          </cell>
          <cell r="E20" t="str">
            <v>OPERADOR CENTRO DE CONTACTO</v>
          </cell>
          <cell r="F20">
            <v>1</v>
          </cell>
          <cell r="G20"/>
          <cell r="H20"/>
          <cell r="I20"/>
          <cell r="J20">
            <v>1</v>
          </cell>
        </row>
        <row r="21">
          <cell r="D21" t="str">
            <v>Oscar Mauricio Alfonso Hernandez</v>
          </cell>
          <cell r="E21" t="str">
            <v>OPERADOR CENTRO DE CONTACTO</v>
          </cell>
          <cell r="F21"/>
          <cell r="G21"/>
          <cell r="H21"/>
          <cell r="I21"/>
          <cell r="J21">
            <v>0</v>
          </cell>
        </row>
        <row r="22">
          <cell r="D22" t="str">
            <v>Patricia Garcia Torres</v>
          </cell>
          <cell r="E22" t="str">
            <v>OPERADOR CENTRO DE CONTACTO</v>
          </cell>
          <cell r="F22">
            <v>1</v>
          </cell>
          <cell r="G22"/>
          <cell r="H22">
            <v>1</v>
          </cell>
          <cell r="I22"/>
          <cell r="J22">
            <v>2</v>
          </cell>
        </row>
        <row r="23">
          <cell r="D23" t="str">
            <v>Lady Xiomara Roncancio Burgos</v>
          </cell>
          <cell r="E23" t="str">
            <v>OPERADOR CENTRO DE CONTACTO</v>
          </cell>
          <cell r="F23"/>
          <cell r="G23"/>
          <cell r="H23"/>
          <cell r="I23"/>
          <cell r="J23">
            <v>0</v>
          </cell>
        </row>
        <row r="24">
          <cell r="D24" t="str">
            <v>Angie Tatiana Prieto Mendez</v>
          </cell>
          <cell r="E24" t="str">
            <v>OPERADOR CENTRO DE CONTACTO</v>
          </cell>
          <cell r="F24"/>
          <cell r="G24"/>
          <cell r="H24"/>
          <cell r="I24"/>
          <cell r="J24">
            <v>0</v>
          </cell>
        </row>
        <row r="25">
          <cell r="D25" t="str">
            <v>Loeny Tatiana Sanchez Acevedo</v>
          </cell>
          <cell r="E25" t="str">
            <v>OPERADOR CENTRO DE CONTACTO</v>
          </cell>
          <cell r="F25"/>
          <cell r="G25"/>
          <cell r="H25"/>
          <cell r="I25"/>
          <cell r="J25">
            <v>0</v>
          </cell>
        </row>
        <row r="26">
          <cell r="D26" t="str">
            <v>Jefferson Javier Lugo Coronado</v>
          </cell>
          <cell r="E26" t="str">
            <v>GESTOR DE FORMACION Y CALIDAD</v>
          </cell>
          <cell r="F26"/>
          <cell r="G26"/>
          <cell r="H26"/>
          <cell r="I26"/>
          <cell r="J26">
            <v>0</v>
          </cell>
        </row>
        <row r="27">
          <cell r="D27" t="str">
            <v>Sandra Milena Rubiano Martinez</v>
          </cell>
          <cell r="E27" t="str">
            <v>SUPERVISOR CENTRO DE CONTACTO</v>
          </cell>
          <cell r="F27">
            <v>1</v>
          </cell>
          <cell r="G27"/>
          <cell r="H27"/>
          <cell r="I27"/>
          <cell r="J27">
            <v>1</v>
          </cell>
        </row>
        <row r="28">
          <cell r="D28" t="str">
            <v>Rociris Helena Puerta Ayala</v>
          </cell>
          <cell r="E28" t="str">
            <v>SUPERVISOR CENTRO DE CONTACTO</v>
          </cell>
          <cell r="F28"/>
          <cell r="G28">
            <v>1</v>
          </cell>
          <cell r="H28"/>
          <cell r="I28">
            <v>1</v>
          </cell>
          <cell r="J28">
            <v>2</v>
          </cell>
        </row>
        <row r="29">
          <cell r="D29" t="str">
            <v>Tania Alejandra Agudelo Ruiz</v>
          </cell>
          <cell r="E29" t="str">
            <v>SUPERVISOR CENTRO DE CONTACTO</v>
          </cell>
          <cell r="F29"/>
          <cell r="G29"/>
          <cell r="H29">
            <v>1</v>
          </cell>
          <cell r="I29"/>
          <cell r="J29">
            <v>1</v>
          </cell>
        </row>
        <row r="30">
          <cell r="D30" t="str">
            <v>Oscar Ariel Acuña Sanchez</v>
          </cell>
          <cell r="E30" t="str">
            <v>COORDINADOR DE CENTRO DE CONTACTO</v>
          </cell>
          <cell r="F30"/>
          <cell r="G30"/>
          <cell r="H30"/>
          <cell r="I30"/>
          <cell r="J30">
            <v>0</v>
          </cell>
        </row>
      </sheetData>
      <sheetData sheetId="4">
        <row r="7">
          <cell r="D7" t="str">
            <v>Camila Andrea Cárdenas Niño</v>
          </cell>
          <cell r="E7" t="str">
            <v>OPERADOR CENTRO DE CONTACTO</v>
          </cell>
          <cell r="F7"/>
          <cell r="G7"/>
          <cell r="H7"/>
          <cell r="I7"/>
          <cell r="J7">
            <v>0</v>
          </cell>
        </row>
        <row r="8">
          <cell r="D8" t="str">
            <v>Claudia Patricia Florez Gomez</v>
          </cell>
          <cell r="E8" t="str">
            <v>OPERADOR CENTRO DE CONTACTO</v>
          </cell>
          <cell r="F8"/>
          <cell r="G8">
            <v>7</v>
          </cell>
          <cell r="H8"/>
          <cell r="I8">
            <v>6</v>
          </cell>
          <cell r="J8">
            <v>13</v>
          </cell>
        </row>
        <row r="9">
          <cell r="D9" t="str">
            <v>Daniel Alejandro Mayorga Vanegas</v>
          </cell>
          <cell r="E9" t="str">
            <v>OPERADOR CENTRO DE CONTACTO</v>
          </cell>
          <cell r="F9">
            <v>7</v>
          </cell>
          <cell r="G9">
            <v>6</v>
          </cell>
          <cell r="H9"/>
          <cell r="I9"/>
          <cell r="J9">
            <v>13</v>
          </cell>
        </row>
        <row r="10">
          <cell r="D10" t="str">
            <v>Diana Esmeralda Campos Casabuenas</v>
          </cell>
          <cell r="E10" t="str">
            <v>OPERADOR CENTRO DE CONTACTO</v>
          </cell>
          <cell r="F10"/>
          <cell r="G10">
            <v>6</v>
          </cell>
          <cell r="H10"/>
          <cell r="I10">
            <v>7</v>
          </cell>
          <cell r="J10">
            <v>13</v>
          </cell>
        </row>
        <row r="11">
          <cell r="D11" t="str">
            <v>Diana Maria Guarnizo Ramos</v>
          </cell>
          <cell r="E11" t="str">
            <v>OPERADOR CENTRO DE CONTACTO</v>
          </cell>
          <cell r="F11"/>
          <cell r="G11">
            <v>6</v>
          </cell>
          <cell r="H11"/>
          <cell r="I11">
            <v>7</v>
          </cell>
          <cell r="J11">
            <v>13</v>
          </cell>
        </row>
        <row r="12">
          <cell r="D12" t="str">
            <v>Gladys Gonzalez Ruiz</v>
          </cell>
          <cell r="E12" t="str">
            <v>OPERADOR CENTRO DE CONTACTO</v>
          </cell>
          <cell r="F12"/>
          <cell r="G12"/>
          <cell r="H12"/>
          <cell r="I12">
            <v>7</v>
          </cell>
          <cell r="J12">
            <v>7</v>
          </cell>
        </row>
        <row r="13">
          <cell r="D13" t="str">
            <v>Hellen Sofia Carrillo Godoy</v>
          </cell>
          <cell r="E13" t="str">
            <v>OPERADOR CENTRO DE CONTACTO</v>
          </cell>
          <cell r="F13"/>
          <cell r="G13">
            <v>7</v>
          </cell>
          <cell r="H13"/>
          <cell r="I13">
            <v>6</v>
          </cell>
          <cell r="J13">
            <v>13</v>
          </cell>
        </row>
        <row r="14">
          <cell r="D14" t="str">
            <v>Jenifer Paola Baquero Linares</v>
          </cell>
          <cell r="E14" t="str">
            <v>OPERADOR CENTRO DE CONTACTO</v>
          </cell>
          <cell r="F14">
            <v>7</v>
          </cell>
          <cell r="G14"/>
          <cell r="H14">
            <v>6</v>
          </cell>
          <cell r="I14"/>
          <cell r="J14">
            <v>13</v>
          </cell>
        </row>
        <row r="15">
          <cell r="D15" t="str">
            <v>Jonathan Steveen Espinosa Rubio</v>
          </cell>
          <cell r="E15" t="str">
            <v>OPERADOR CENTRO DE CONTACTO</v>
          </cell>
          <cell r="F15"/>
          <cell r="G15"/>
          <cell r="H15">
            <v>7</v>
          </cell>
          <cell r="I15">
            <v>6</v>
          </cell>
          <cell r="J15">
            <v>13</v>
          </cell>
        </row>
        <row r="16">
          <cell r="D16" t="str">
            <v>July Andrea Herreño Gonzalez</v>
          </cell>
          <cell r="E16" t="str">
            <v>OPERADOR CENTRO DE CONTACTO</v>
          </cell>
          <cell r="F16">
            <v>7</v>
          </cell>
          <cell r="G16"/>
          <cell r="H16">
            <v>6</v>
          </cell>
          <cell r="I16"/>
          <cell r="J16">
            <v>13</v>
          </cell>
        </row>
        <row r="17">
          <cell r="D17" t="str">
            <v>Katherine Lopez Guerrero</v>
          </cell>
          <cell r="E17" t="str">
            <v>OPERADOR CENTRO DE CONTACTO</v>
          </cell>
          <cell r="F17">
            <v>7</v>
          </cell>
          <cell r="G17"/>
          <cell r="H17">
            <v>6</v>
          </cell>
          <cell r="I17"/>
          <cell r="J17">
            <v>13</v>
          </cell>
        </row>
        <row r="18">
          <cell r="D18" t="str">
            <v>Luisa Fernanda Suarez Suarez</v>
          </cell>
          <cell r="E18" t="str">
            <v>OPERADOR CENTRO DE CONTACTO</v>
          </cell>
          <cell r="F18">
            <v>6</v>
          </cell>
          <cell r="G18">
            <v>7</v>
          </cell>
          <cell r="H18"/>
          <cell r="I18"/>
          <cell r="J18">
            <v>13</v>
          </cell>
        </row>
        <row r="19">
          <cell r="D19" t="str">
            <v>Maria Alexandra Gomez Mahecha</v>
          </cell>
          <cell r="E19" t="str">
            <v>OPERADOR CENTRO DE CONTACTO</v>
          </cell>
          <cell r="F19"/>
          <cell r="G19"/>
          <cell r="H19"/>
          <cell r="I19"/>
          <cell r="J19">
            <v>0</v>
          </cell>
        </row>
        <row r="20">
          <cell r="D20" t="str">
            <v>Maryely Hernandez Hernandez</v>
          </cell>
          <cell r="E20" t="str">
            <v>OPERADOR CENTRO DE CONTACTO</v>
          </cell>
          <cell r="F20">
            <v>6</v>
          </cell>
          <cell r="G20"/>
          <cell r="H20">
            <v>7</v>
          </cell>
          <cell r="I20"/>
          <cell r="J20">
            <v>13</v>
          </cell>
        </row>
        <row r="21">
          <cell r="D21" t="str">
            <v>Oscar Mauricio Alfonso Hernandez</v>
          </cell>
          <cell r="E21" t="str">
            <v>OPERADOR CENTRO DE CONTACTO</v>
          </cell>
          <cell r="F21"/>
          <cell r="G21">
            <v>7</v>
          </cell>
          <cell r="H21">
            <v>7</v>
          </cell>
          <cell r="I21">
            <v>7</v>
          </cell>
          <cell r="J21">
            <v>21</v>
          </cell>
        </row>
        <row r="22">
          <cell r="D22" t="str">
            <v>Patricia Garcia Torres</v>
          </cell>
          <cell r="E22" t="str">
            <v>OPERADOR CENTRO DE CONTACTO</v>
          </cell>
          <cell r="F22">
            <v>6</v>
          </cell>
          <cell r="G22"/>
          <cell r="H22">
            <v>6</v>
          </cell>
          <cell r="I22"/>
          <cell r="J22">
            <v>12</v>
          </cell>
        </row>
        <row r="23">
          <cell r="D23" t="str">
            <v>Lady Xiomara Roncancio Burgos</v>
          </cell>
          <cell r="E23" t="str">
            <v>OPERADOR CENTRO DE CONTACTO</v>
          </cell>
          <cell r="F23"/>
          <cell r="G23"/>
          <cell r="H23"/>
          <cell r="I23"/>
          <cell r="J23">
            <v>0</v>
          </cell>
        </row>
        <row r="24">
          <cell r="D24" t="str">
            <v>Angie Tatiana Prieto Mendez</v>
          </cell>
          <cell r="E24" t="str">
            <v>OPERADOR CENTRO DE CONTACTO</v>
          </cell>
          <cell r="F24"/>
          <cell r="G24"/>
          <cell r="H24"/>
          <cell r="I24"/>
          <cell r="J24">
            <v>0</v>
          </cell>
        </row>
        <row r="25">
          <cell r="D25" t="str">
            <v>Loeny Tatiana Sanchez Acevedo</v>
          </cell>
          <cell r="E25" t="str">
            <v>OPERADOR CENTRO DE CONTACTO</v>
          </cell>
          <cell r="F25"/>
          <cell r="G25"/>
          <cell r="H25"/>
          <cell r="I25"/>
          <cell r="J25">
            <v>0</v>
          </cell>
        </row>
        <row r="26">
          <cell r="D26" t="str">
            <v>Jefferson Javier Lugo Coronado</v>
          </cell>
          <cell r="E26" t="str">
            <v>GESTOR DE FORMACION Y CALIDAD</v>
          </cell>
          <cell r="F26"/>
          <cell r="G26"/>
          <cell r="H26"/>
          <cell r="I26"/>
          <cell r="J26">
            <v>0</v>
          </cell>
        </row>
        <row r="27">
          <cell r="D27" t="str">
            <v>Sandra Milena Rubiano Martinez</v>
          </cell>
          <cell r="E27" t="str">
            <v>SUPERVISOR CENTRO DE CONTACTO</v>
          </cell>
          <cell r="F27">
            <v>6</v>
          </cell>
          <cell r="G27">
            <v>6</v>
          </cell>
          <cell r="H27"/>
          <cell r="I27"/>
          <cell r="J27">
            <v>12</v>
          </cell>
        </row>
        <row r="28">
          <cell r="D28" t="str">
            <v>Rociris Helena Puerta Ayala</v>
          </cell>
          <cell r="E28" t="str">
            <v>SUPERVISOR CENTRO DE CONTACTO</v>
          </cell>
          <cell r="F28">
            <v>6</v>
          </cell>
          <cell r="G28">
            <v>6</v>
          </cell>
          <cell r="H28">
            <v>6</v>
          </cell>
          <cell r="I28">
            <v>6</v>
          </cell>
          <cell r="J28">
            <v>24</v>
          </cell>
        </row>
        <row r="29">
          <cell r="D29" t="str">
            <v>Tania Alejandra Agudelo Ruiz</v>
          </cell>
          <cell r="E29" t="str">
            <v>SUPERVISOR CENTRO DE CONTACTO</v>
          </cell>
          <cell r="F29"/>
          <cell r="G29">
            <v>6</v>
          </cell>
          <cell r="H29">
            <v>6</v>
          </cell>
          <cell r="I29"/>
          <cell r="J29">
            <v>12</v>
          </cell>
        </row>
        <row r="30">
          <cell r="D30" t="str">
            <v>Oscar Ariel Acuña Sanchez</v>
          </cell>
          <cell r="E30" t="str">
            <v>COORDINADOR DE CENTRO DE CONTACTO</v>
          </cell>
          <cell r="F30"/>
          <cell r="G30"/>
          <cell r="H30"/>
          <cell r="I30"/>
          <cell r="J30">
            <v>0</v>
          </cell>
        </row>
      </sheetData>
      <sheetData sheetId="5">
        <row r="6">
          <cell r="C6" t="str">
            <v>Camila Andrea Cárdenas Niño</v>
          </cell>
          <cell r="D6" t="str">
            <v>OPERADOR CENTRO DE CONTACTO</v>
          </cell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>
            <v>0</v>
          </cell>
        </row>
        <row r="7">
          <cell r="C7" t="str">
            <v>Claudia Patricia Florez Gomez</v>
          </cell>
          <cell r="D7" t="str">
            <v>OPERADOR CENTRO DE CONTACTO</v>
          </cell>
          <cell r="E7"/>
          <cell r="F7"/>
          <cell r="G7">
            <v>1.5</v>
          </cell>
          <cell r="H7">
            <v>1.5</v>
          </cell>
          <cell r="I7">
            <v>1.5</v>
          </cell>
          <cell r="J7">
            <v>1.5</v>
          </cell>
          <cell r="K7">
            <v>1.5</v>
          </cell>
          <cell r="L7">
            <v>1.5</v>
          </cell>
          <cell r="M7"/>
          <cell r="N7"/>
          <cell r="O7"/>
          <cell r="P7">
            <v>9</v>
          </cell>
        </row>
        <row r="8">
          <cell r="C8" t="str">
            <v>Daniel Alejandro Mayorga Vanegas</v>
          </cell>
          <cell r="D8" t="str">
            <v>OPERADOR CENTRO DE CONTACTO</v>
          </cell>
          <cell r="E8">
            <v>1.5</v>
          </cell>
          <cell r="F8">
            <v>1.5</v>
          </cell>
          <cell r="G8"/>
          <cell r="H8"/>
          <cell r="I8"/>
          <cell r="J8"/>
          <cell r="K8"/>
          <cell r="L8"/>
          <cell r="M8">
            <v>3</v>
          </cell>
          <cell r="N8">
            <v>3</v>
          </cell>
          <cell r="O8">
            <v>3</v>
          </cell>
          <cell r="P8">
            <v>12</v>
          </cell>
        </row>
        <row r="9">
          <cell r="C9" t="str">
            <v>Diana Esmeralda Campos Casabuenas</v>
          </cell>
          <cell r="D9" t="str">
            <v>OPERADOR CENTRO DE CONTACTO</v>
          </cell>
          <cell r="E9">
            <v>1.5</v>
          </cell>
          <cell r="F9">
            <v>1.5</v>
          </cell>
          <cell r="G9"/>
          <cell r="H9"/>
          <cell r="I9"/>
          <cell r="J9"/>
          <cell r="K9"/>
          <cell r="L9"/>
          <cell r="M9"/>
          <cell r="N9"/>
          <cell r="O9"/>
          <cell r="P9">
            <v>3</v>
          </cell>
        </row>
        <row r="10">
          <cell r="C10" t="str">
            <v>Diana Maria Guarnizo Ramos</v>
          </cell>
          <cell r="D10" t="str">
            <v>OPERADOR CENTRO DE CONTACTO</v>
          </cell>
          <cell r="E10"/>
          <cell r="F10"/>
          <cell r="G10">
            <v>3</v>
          </cell>
          <cell r="H10">
            <v>3</v>
          </cell>
          <cell r="I10">
            <v>3</v>
          </cell>
          <cell r="J10">
            <v>3</v>
          </cell>
          <cell r="K10">
            <v>3</v>
          </cell>
          <cell r="L10">
            <v>3</v>
          </cell>
          <cell r="M10"/>
          <cell r="N10"/>
          <cell r="O10"/>
          <cell r="P10">
            <v>18</v>
          </cell>
        </row>
        <row r="11">
          <cell r="C11" t="str">
            <v>Gladys Gonzalez Ruiz</v>
          </cell>
          <cell r="D11" t="str">
            <v>OPERADOR CENTRO DE CONTACTO</v>
          </cell>
          <cell r="E11"/>
          <cell r="F11"/>
          <cell r="G11"/>
          <cell r="H11">
            <v>3</v>
          </cell>
          <cell r="I11">
            <v>3</v>
          </cell>
          <cell r="J11">
            <v>3</v>
          </cell>
          <cell r="K11">
            <v>3</v>
          </cell>
          <cell r="L11">
            <v>3</v>
          </cell>
          <cell r="M11"/>
          <cell r="N11"/>
          <cell r="O11"/>
          <cell r="P11">
            <v>15</v>
          </cell>
        </row>
        <row r="12">
          <cell r="C12" t="str">
            <v>Hellen Sofia Carrillo Godoy</v>
          </cell>
          <cell r="D12" t="str">
            <v>OPERADOR CENTRO DE CONTACTO</v>
          </cell>
          <cell r="E12"/>
          <cell r="F12"/>
          <cell r="G12">
            <v>1.5</v>
          </cell>
          <cell r="H12">
            <v>1.5</v>
          </cell>
          <cell r="I12">
            <v>1.5</v>
          </cell>
          <cell r="J12">
            <v>1.5</v>
          </cell>
          <cell r="K12">
            <v>1.5</v>
          </cell>
          <cell r="L12">
            <v>1.5</v>
          </cell>
          <cell r="M12">
            <v>3</v>
          </cell>
          <cell r="N12">
            <v>3</v>
          </cell>
          <cell r="O12">
            <v>3</v>
          </cell>
          <cell r="P12">
            <v>18</v>
          </cell>
        </row>
        <row r="13">
          <cell r="C13" t="str">
            <v>Jenifer Paola Baquero Linares</v>
          </cell>
          <cell r="D13" t="str">
            <v>OPERADOR CENTRO DE CONTACTO</v>
          </cell>
          <cell r="E13"/>
          <cell r="F13"/>
          <cell r="G13">
            <v>3</v>
          </cell>
          <cell r="H13">
            <v>1.5</v>
          </cell>
          <cell r="I13">
            <v>1.5</v>
          </cell>
          <cell r="J13">
            <v>1.5</v>
          </cell>
          <cell r="K13">
            <v>1.5</v>
          </cell>
          <cell r="L13">
            <v>1.5</v>
          </cell>
          <cell r="M13"/>
          <cell r="N13"/>
          <cell r="O13"/>
          <cell r="P13">
            <v>10.5</v>
          </cell>
        </row>
        <row r="14">
          <cell r="C14" t="str">
            <v>Jonathan Steveen Espinosa Rubio</v>
          </cell>
          <cell r="D14" t="str">
            <v>OPERADOR CENTRO DE CONTACTO</v>
          </cell>
          <cell r="E14">
            <v>3</v>
          </cell>
          <cell r="F14">
            <v>3</v>
          </cell>
          <cell r="G14"/>
          <cell r="H14">
            <v>1.5</v>
          </cell>
          <cell r="I14">
            <v>1.5</v>
          </cell>
          <cell r="J14"/>
          <cell r="K14"/>
          <cell r="L14"/>
          <cell r="M14">
            <v>1.5</v>
          </cell>
          <cell r="N14">
            <v>1.5</v>
          </cell>
          <cell r="O14">
            <v>1.5</v>
          </cell>
          <cell r="P14">
            <v>13.5</v>
          </cell>
        </row>
        <row r="15">
          <cell r="C15" t="str">
            <v>July Andrea Herreño Gonzalez</v>
          </cell>
          <cell r="D15" t="str">
            <v>OPERADOR CENTRO DE CONTACTO</v>
          </cell>
          <cell r="E15"/>
          <cell r="F15"/>
          <cell r="G15">
            <v>1.5</v>
          </cell>
          <cell r="H15">
            <v>1.5</v>
          </cell>
          <cell r="I15">
            <v>1.5</v>
          </cell>
          <cell r="J15">
            <v>1.5</v>
          </cell>
          <cell r="K15">
            <v>1.5</v>
          </cell>
          <cell r="L15">
            <v>1.5</v>
          </cell>
          <cell r="M15"/>
          <cell r="N15"/>
          <cell r="O15"/>
          <cell r="P15">
            <v>9</v>
          </cell>
        </row>
        <row r="16">
          <cell r="C16" t="str">
            <v>Katherine Lopez Guerrero</v>
          </cell>
          <cell r="D16" t="str">
            <v>OPERADOR CENTRO DE CONTACTO</v>
          </cell>
          <cell r="E16">
            <v>1.5</v>
          </cell>
          <cell r="F16">
            <v>1.5</v>
          </cell>
          <cell r="G16"/>
          <cell r="H16"/>
          <cell r="I16"/>
          <cell r="J16"/>
          <cell r="K16"/>
          <cell r="L16"/>
          <cell r="M16">
            <v>1.5</v>
          </cell>
          <cell r="N16">
            <v>1.5</v>
          </cell>
          <cell r="O16">
            <v>1.5</v>
          </cell>
          <cell r="P16">
            <v>7.5</v>
          </cell>
        </row>
        <row r="17">
          <cell r="C17" t="str">
            <v>Luisa Fernanda Suarez Suarez</v>
          </cell>
          <cell r="D17" t="str">
            <v>OPERADOR CENTRO DE CONTACTO</v>
          </cell>
          <cell r="E17">
            <v>3</v>
          </cell>
          <cell r="F17">
            <v>3</v>
          </cell>
          <cell r="G17"/>
          <cell r="H17"/>
          <cell r="I17"/>
          <cell r="J17"/>
          <cell r="K17"/>
          <cell r="L17"/>
          <cell r="M17"/>
          <cell r="N17"/>
          <cell r="O17"/>
          <cell r="P17">
            <v>6</v>
          </cell>
        </row>
        <row r="18">
          <cell r="C18" t="str">
            <v>Maria Alexandra Gomez Mahecha</v>
          </cell>
          <cell r="D18" t="str">
            <v>OPERADOR CENTRO DE CONTACTO</v>
          </cell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>
            <v>0</v>
          </cell>
        </row>
        <row r="19">
          <cell r="C19" t="str">
            <v>Maryely Hernandez Hernandez</v>
          </cell>
          <cell r="D19" t="str">
            <v>OPERADOR CENTRO DE CONTACTO</v>
          </cell>
          <cell r="E19">
            <v>1.5</v>
          </cell>
          <cell r="F19">
            <v>1.5</v>
          </cell>
          <cell r="G19"/>
          <cell r="H19"/>
          <cell r="I19"/>
          <cell r="J19"/>
          <cell r="K19"/>
          <cell r="L19"/>
          <cell r="M19"/>
          <cell r="N19"/>
          <cell r="O19"/>
          <cell r="P19">
            <v>3</v>
          </cell>
        </row>
        <row r="20">
          <cell r="C20" t="str">
            <v>Oscar Mauricio Alfonso Hernandez</v>
          </cell>
          <cell r="D20" t="str">
            <v>OPERADOR CENTRO DE CONTACTO</v>
          </cell>
          <cell r="E20">
            <v>1.5</v>
          </cell>
          <cell r="F20">
            <v>1.5</v>
          </cell>
          <cell r="G20"/>
          <cell r="H20"/>
          <cell r="I20"/>
          <cell r="J20"/>
          <cell r="K20"/>
          <cell r="L20"/>
          <cell r="M20">
            <v>3</v>
          </cell>
          <cell r="N20">
            <v>3</v>
          </cell>
          <cell r="O20">
            <v>3</v>
          </cell>
          <cell r="P20">
            <v>12</v>
          </cell>
        </row>
        <row r="21">
          <cell r="C21" t="str">
            <v>Patricia Garcia Torres</v>
          </cell>
          <cell r="D21" t="str">
            <v>OPERADOR CENTRO DE CONTACTO</v>
          </cell>
          <cell r="E21">
            <v>3</v>
          </cell>
          <cell r="F21">
            <v>3</v>
          </cell>
          <cell r="G21"/>
          <cell r="H21"/>
          <cell r="I21"/>
          <cell r="J21"/>
          <cell r="K21"/>
          <cell r="L21"/>
          <cell r="M21"/>
          <cell r="N21"/>
          <cell r="O21"/>
          <cell r="P21">
            <v>6</v>
          </cell>
        </row>
        <row r="22">
          <cell r="C22" t="str">
            <v>Lady Xiomara Roncancio Burgos</v>
          </cell>
          <cell r="D22" t="str">
            <v>OPERADOR CENTRO DE CONTACTO</v>
          </cell>
          <cell r="E22"/>
          <cell r="F22"/>
          <cell r="G22"/>
          <cell r="H22"/>
          <cell r="I22"/>
          <cell r="J22"/>
          <cell r="K22"/>
          <cell r="L22"/>
          <cell r="M22">
            <v>1.5</v>
          </cell>
          <cell r="N22">
            <v>1.5</v>
          </cell>
          <cell r="O22">
            <v>1.5</v>
          </cell>
          <cell r="P22">
            <v>4.5</v>
          </cell>
        </row>
        <row r="23">
          <cell r="C23" t="str">
            <v>Angie Tatiana Prieto Mendez</v>
          </cell>
          <cell r="D23" t="str">
            <v>OPERADOR CENTRO DE CONTACTO</v>
          </cell>
          <cell r="E23"/>
          <cell r="F23"/>
          <cell r="G23"/>
          <cell r="H23"/>
          <cell r="I23"/>
          <cell r="J23"/>
          <cell r="K23"/>
          <cell r="L23"/>
          <cell r="M23"/>
          <cell r="N23"/>
          <cell r="O23"/>
          <cell r="P23">
            <v>0</v>
          </cell>
        </row>
        <row r="24">
          <cell r="C24" t="str">
            <v>Loeny Tatiana Sanchez Acevedo</v>
          </cell>
          <cell r="D24" t="str">
            <v>OPERADOR CENTRO DE CONTACTO</v>
          </cell>
          <cell r="E24"/>
          <cell r="F24"/>
          <cell r="G24"/>
          <cell r="H24"/>
          <cell r="I24"/>
          <cell r="J24"/>
          <cell r="K24"/>
          <cell r="L24"/>
          <cell r="M24">
            <v>1.5</v>
          </cell>
          <cell r="N24">
            <v>1.5</v>
          </cell>
          <cell r="O24">
            <v>1.5</v>
          </cell>
          <cell r="P24">
            <v>4.5</v>
          </cell>
        </row>
        <row r="25">
          <cell r="C25" t="str">
            <v>Jefferson Javier Lugo Coronado</v>
          </cell>
          <cell r="D25" t="str">
            <v>GESTOR DE FORMACION Y CALIDAD</v>
          </cell>
          <cell r="E25"/>
          <cell r="F25"/>
          <cell r="G25"/>
          <cell r="H25"/>
          <cell r="I25"/>
          <cell r="J25"/>
          <cell r="K25"/>
          <cell r="L25"/>
          <cell r="M25"/>
          <cell r="N25"/>
          <cell r="O25"/>
          <cell r="P25">
            <v>0</v>
          </cell>
        </row>
        <row r="26">
          <cell r="C26" t="str">
            <v>Sandra Milena Rubiano Martinez</v>
          </cell>
          <cell r="D26" t="str">
            <v>SUPERVISOR CENTRO DE CONTACTO</v>
          </cell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>
            <v>0</v>
          </cell>
        </row>
        <row r="27">
          <cell r="C27" t="str">
            <v>Rociris Helena Puerta Ayala</v>
          </cell>
          <cell r="D27" t="str">
            <v>SUPERVISOR CENTRO DE CONTACTO</v>
          </cell>
          <cell r="E27"/>
          <cell r="F27">
            <v>3</v>
          </cell>
          <cell r="G27"/>
          <cell r="H27"/>
          <cell r="I27"/>
          <cell r="J27"/>
          <cell r="K27"/>
          <cell r="L27"/>
          <cell r="M27">
            <v>3</v>
          </cell>
          <cell r="N27">
            <v>3</v>
          </cell>
          <cell r="O27">
            <v>3</v>
          </cell>
          <cell r="P27">
            <v>12</v>
          </cell>
        </row>
        <row r="28">
          <cell r="C28" t="str">
            <v>Tania Alejandra Agudelo Ruiz</v>
          </cell>
          <cell r="D28" t="str">
            <v>SUPERVISOR CENTRO DE CONTACTO</v>
          </cell>
          <cell r="E28">
            <v>3</v>
          </cell>
          <cell r="F28"/>
          <cell r="G28">
            <v>3</v>
          </cell>
          <cell r="H28">
            <v>3</v>
          </cell>
          <cell r="I28">
            <v>3</v>
          </cell>
          <cell r="J28">
            <v>3</v>
          </cell>
          <cell r="K28">
            <v>3</v>
          </cell>
          <cell r="L28">
            <v>3</v>
          </cell>
          <cell r="M28"/>
          <cell r="N28"/>
          <cell r="O28"/>
          <cell r="P28">
            <v>21</v>
          </cell>
        </row>
        <row r="29">
          <cell r="C29" t="str">
            <v>Oscar Ariel Acuña Sanchez</v>
          </cell>
          <cell r="D29" t="str">
            <v>COORDINADOR DE CENTRO DE CONTACTO</v>
          </cell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>
            <v>0</v>
          </cell>
        </row>
      </sheetData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er1" id="{D4E78D02-F569-4F69-99B9-EE6B4299011A}"/>
</namedSheetView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19/04/relationships/namedSheetView" Target="../namedSheetViews/namedSheetView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DB418-55D2-4CF8-98CA-72AE11767BB2}">
  <dimension ref="A1:BQ63"/>
  <sheetViews>
    <sheetView showGridLines="0" tabSelected="1" zoomScale="93" zoomScaleNormal="93" workbookViewId="0">
      <pane xSplit="2" ySplit="2" topLeftCell="AL3" activePane="bottomRight" state="frozen"/>
      <selection pane="bottomRight" activeCell="B9" sqref="B9"/>
      <selection pane="bottomLeft" activeCell="A3" sqref="A3"/>
      <selection pane="topRight" activeCell="C1" sqref="C1"/>
    </sheetView>
  </sheetViews>
  <sheetFormatPr defaultColWidth="8.5703125" defaultRowHeight="15" customHeight="1"/>
  <cols>
    <col min="1" max="1" width="8" style="21" bestFit="1" customWidth="1"/>
    <col min="2" max="2" width="55.28515625" style="74" bestFit="1" customWidth="1"/>
    <col min="3" max="3" width="12.5703125" style="21" customWidth="1"/>
    <col min="4" max="4" width="6.7109375" style="21" customWidth="1"/>
    <col min="5" max="5" width="5" style="21" customWidth="1"/>
    <col min="6" max="6" width="9.7109375" style="21" customWidth="1"/>
    <col min="7" max="7" width="5.7109375" style="21" customWidth="1"/>
    <col min="8" max="8" width="12.5703125" style="21" customWidth="1"/>
    <col min="9" max="9" width="6.7109375" style="21" customWidth="1"/>
    <col min="10" max="10" width="5.42578125" style="21" customWidth="1"/>
    <col min="11" max="11" width="5.85546875" style="75" customWidth="1"/>
    <col min="12" max="12" width="5" style="21" customWidth="1"/>
    <col min="13" max="13" width="5.28515625" style="21" customWidth="1"/>
    <col min="14" max="14" width="8.140625" style="21" customWidth="1"/>
    <col min="15" max="15" width="4.85546875" style="21" customWidth="1"/>
    <col min="16" max="16" width="5.42578125" style="21" customWidth="1"/>
    <col min="17" max="17" width="9.7109375" style="21" customWidth="1"/>
    <col min="18" max="18" width="5.7109375" style="21" customWidth="1"/>
    <col min="19" max="19" width="12.5703125" style="21" customWidth="1"/>
    <col min="20" max="20" width="6.7109375" style="21" customWidth="1"/>
    <col min="21" max="21" width="5.85546875" style="75" customWidth="1"/>
    <col min="22" max="22" width="5" style="21" customWidth="1"/>
    <col min="23" max="23" width="5.28515625" style="21" customWidth="1"/>
    <col min="24" max="25" width="4.85546875" style="21" customWidth="1"/>
    <col min="26" max="26" width="5.42578125" style="21" customWidth="1"/>
    <col min="27" max="27" width="9.7109375" style="21" customWidth="1"/>
    <col min="28" max="28" width="5.7109375" style="21" customWidth="1"/>
    <col min="29" max="29" width="9.7109375" style="21" customWidth="1"/>
    <col min="30" max="30" width="5.42578125" style="21" customWidth="1"/>
    <col min="31" max="31" width="12.5703125" style="21" customWidth="1"/>
    <col min="32" max="32" width="6.7109375" style="21" customWidth="1"/>
    <col min="33" max="33" width="5.85546875" style="75" customWidth="1"/>
    <col min="34" max="34" width="5" style="21" customWidth="1"/>
    <col min="35" max="35" width="5.28515625" style="21" customWidth="1"/>
    <col min="36" max="36" width="4.85546875" style="21" customWidth="1"/>
    <col min="37" max="37" width="5.42578125" style="21" customWidth="1"/>
    <col min="38" max="38" width="9.7109375" style="21" customWidth="1"/>
    <col min="39" max="39" width="6.140625" style="21" customWidth="1"/>
    <col min="40" max="40" width="12.5703125" style="21" customWidth="1"/>
    <col min="41" max="41" width="6.7109375" style="21" customWidth="1"/>
    <col min="42" max="42" width="5.42578125" style="21" customWidth="1"/>
    <col min="43" max="43" width="5.85546875" style="75" customWidth="1"/>
    <col min="44" max="46" width="5" style="21" customWidth="1"/>
    <col min="47" max="47" width="5.28515625" style="21" customWidth="1"/>
    <col min="48" max="48" width="8.42578125" style="21" customWidth="1"/>
    <col min="49" max="49" width="6.7109375" style="21" customWidth="1"/>
    <col min="50" max="50" width="14.28515625" style="21" customWidth="1"/>
    <col min="51" max="51" width="8.140625" style="21" customWidth="1"/>
    <col min="52" max="52" width="4.85546875" style="21" customWidth="1"/>
    <col min="53" max="53" width="8.5703125" style="21" customWidth="1"/>
    <col min="54" max="54" width="12.140625" style="21" customWidth="1"/>
    <col min="55" max="55" width="7.28515625" style="21" customWidth="1"/>
    <col min="56" max="56" width="14.85546875" style="21" customWidth="1"/>
    <col min="57" max="57" width="10.140625" style="21" customWidth="1"/>
    <col min="58" max="58" width="12" style="21" customWidth="1"/>
    <col min="59" max="59" width="7.42578125" style="21" customWidth="1"/>
    <col min="60" max="60" width="8.42578125" style="21" customWidth="1"/>
    <col min="61" max="63" width="8.5703125" style="21" customWidth="1"/>
    <col min="64" max="64" width="5.7109375" style="21" customWidth="1"/>
    <col min="65" max="71" width="8.5703125" style="21" customWidth="1"/>
    <col min="72" max="16384" width="8.5703125" style="21"/>
  </cols>
  <sheetData>
    <row r="1" spans="1:69" s="2" customFormat="1" ht="30" customHeight="1">
      <c r="A1" s="1"/>
      <c r="B1" s="85" t="s">
        <v>0</v>
      </c>
      <c r="C1" s="1" t="s">
        <v>1</v>
      </c>
      <c r="D1" s="1" t="s">
        <v>1</v>
      </c>
      <c r="E1" s="1">
        <v>1</v>
      </c>
      <c r="F1" s="1" t="s">
        <v>1</v>
      </c>
      <c r="G1" s="1">
        <v>2</v>
      </c>
      <c r="H1" s="1" t="s">
        <v>1</v>
      </c>
      <c r="I1" s="1" t="s">
        <v>1</v>
      </c>
      <c r="J1" s="1">
        <v>3</v>
      </c>
      <c r="K1" s="1">
        <v>4</v>
      </c>
      <c r="L1" s="1">
        <v>5</v>
      </c>
      <c r="M1" s="1">
        <v>6</v>
      </c>
      <c r="N1" s="1" t="s">
        <v>1</v>
      </c>
      <c r="O1" s="1">
        <v>7</v>
      </c>
      <c r="P1" s="1">
        <v>8</v>
      </c>
      <c r="Q1" s="1" t="s">
        <v>1</v>
      </c>
      <c r="R1" s="1">
        <v>9</v>
      </c>
      <c r="S1" s="1" t="s">
        <v>1</v>
      </c>
      <c r="T1" s="1" t="s">
        <v>1</v>
      </c>
      <c r="U1" s="1">
        <v>10</v>
      </c>
      <c r="V1" s="1">
        <v>11</v>
      </c>
      <c r="W1" s="1">
        <v>12</v>
      </c>
      <c r="X1" s="1">
        <v>13</v>
      </c>
      <c r="Y1" s="1">
        <v>14</v>
      </c>
      <c r="Z1" s="1">
        <v>15</v>
      </c>
      <c r="AA1" s="1" t="s">
        <v>1</v>
      </c>
      <c r="AB1" s="1">
        <v>16</v>
      </c>
      <c r="AC1" s="1"/>
      <c r="AD1" s="1">
        <v>17</v>
      </c>
      <c r="AE1" s="1" t="s">
        <v>1</v>
      </c>
      <c r="AF1" s="1" t="s">
        <v>1</v>
      </c>
      <c r="AG1" s="1">
        <v>18</v>
      </c>
      <c r="AH1" s="1">
        <v>19</v>
      </c>
      <c r="AI1" s="1">
        <v>20</v>
      </c>
      <c r="AJ1" s="1">
        <v>21</v>
      </c>
      <c r="AK1" s="1">
        <v>22</v>
      </c>
      <c r="AL1" s="1" t="s">
        <v>1</v>
      </c>
      <c r="AM1" s="1">
        <v>23</v>
      </c>
      <c r="AN1" s="1" t="s">
        <v>1</v>
      </c>
      <c r="AO1" s="1" t="s">
        <v>1</v>
      </c>
      <c r="AP1" s="1">
        <v>24</v>
      </c>
      <c r="AQ1" s="1">
        <v>25</v>
      </c>
      <c r="AR1" s="1">
        <v>26</v>
      </c>
      <c r="AS1" s="1">
        <v>27</v>
      </c>
      <c r="AT1" s="1">
        <v>28</v>
      </c>
      <c r="AU1" s="1">
        <v>29</v>
      </c>
      <c r="AV1" s="1" t="s">
        <v>1</v>
      </c>
      <c r="AW1" s="1">
        <v>30</v>
      </c>
      <c r="AX1" s="1" t="s">
        <v>1</v>
      </c>
      <c r="AY1" s="1" t="s">
        <v>1</v>
      </c>
      <c r="AZ1" s="1">
        <v>31</v>
      </c>
      <c r="BA1" s="84" t="s">
        <v>2</v>
      </c>
      <c r="BB1" s="84" t="s">
        <v>3</v>
      </c>
      <c r="BC1" s="84" t="s">
        <v>4</v>
      </c>
      <c r="BD1" s="84" t="s">
        <v>5</v>
      </c>
      <c r="BE1" s="84" t="s">
        <v>6</v>
      </c>
      <c r="BF1" s="84" t="s">
        <v>7</v>
      </c>
      <c r="BG1" s="84" t="s">
        <v>8</v>
      </c>
      <c r="BH1" s="85" t="s">
        <v>9</v>
      </c>
      <c r="BI1" s="85" t="s">
        <v>5</v>
      </c>
      <c r="BJ1" s="85" t="s">
        <v>10</v>
      </c>
      <c r="BK1" s="85"/>
      <c r="BL1" s="85"/>
      <c r="BM1" s="85"/>
      <c r="BN1" s="85" t="s">
        <v>11</v>
      </c>
      <c r="BO1" s="85"/>
      <c r="BP1" s="85"/>
      <c r="BQ1" s="85"/>
    </row>
    <row r="2" spans="1:69" s="3" customFormat="1" ht="24" customHeight="1">
      <c r="A2" s="1" t="s">
        <v>12</v>
      </c>
      <c r="B2" s="85"/>
      <c r="C2" s="1" t="s">
        <v>13</v>
      </c>
      <c r="D2" s="1" t="s">
        <v>14</v>
      </c>
      <c r="E2" s="1" t="s">
        <v>15</v>
      </c>
      <c r="F2" s="1" t="s">
        <v>13</v>
      </c>
      <c r="G2" s="1" t="s">
        <v>16</v>
      </c>
      <c r="H2" s="1" t="s">
        <v>13</v>
      </c>
      <c r="I2" s="1" t="s">
        <v>14</v>
      </c>
      <c r="J2" s="1" t="s">
        <v>17</v>
      </c>
      <c r="K2" s="1" t="s">
        <v>18</v>
      </c>
      <c r="L2" s="1" t="s">
        <v>19</v>
      </c>
      <c r="M2" s="1" t="s">
        <v>20</v>
      </c>
      <c r="N2" s="1" t="s">
        <v>13</v>
      </c>
      <c r="O2" s="1" t="s">
        <v>21</v>
      </c>
      <c r="P2" s="1" t="s">
        <v>15</v>
      </c>
      <c r="Q2" s="1" t="s">
        <v>13</v>
      </c>
      <c r="R2" s="1" t="s">
        <v>16</v>
      </c>
      <c r="S2" s="1" t="s">
        <v>13</v>
      </c>
      <c r="T2" s="1" t="s">
        <v>14</v>
      </c>
      <c r="U2" s="1" t="s">
        <v>17</v>
      </c>
      <c r="V2" s="1" t="s">
        <v>18</v>
      </c>
      <c r="W2" s="1" t="s">
        <v>19</v>
      </c>
      <c r="X2" s="1" t="s">
        <v>20</v>
      </c>
      <c r="Y2" s="1" t="s">
        <v>21</v>
      </c>
      <c r="Z2" s="1" t="s">
        <v>15</v>
      </c>
      <c r="AA2" s="1" t="s">
        <v>13</v>
      </c>
      <c r="AB2" s="1" t="s">
        <v>16</v>
      </c>
      <c r="AC2" s="1" t="s">
        <v>13</v>
      </c>
      <c r="AD2" s="1" t="s">
        <v>17</v>
      </c>
      <c r="AE2" s="1" t="s">
        <v>13</v>
      </c>
      <c r="AF2" s="1" t="s">
        <v>14</v>
      </c>
      <c r="AG2" s="1" t="s">
        <v>18</v>
      </c>
      <c r="AH2" s="1" t="s">
        <v>19</v>
      </c>
      <c r="AI2" s="1" t="s">
        <v>20</v>
      </c>
      <c r="AJ2" s="1" t="s">
        <v>21</v>
      </c>
      <c r="AK2" s="1" t="s">
        <v>15</v>
      </c>
      <c r="AL2" s="1" t="s">
        <v>13</v>
      </c>
      <c r="AM2" s="1" t="s">
        <v>16</v>
      </c>
      <c r="AN2" s="1" t="s">
        <v>13</v>
      </c>
      <c r="AO2" s="1" t="s">
        <v>14</v>
      </c>
      <c r="AP2" s="1" t="s">
        <v>17</v>
      </c>
      <c r="AQ2" s="1" t="s">
        <v>18</v>
      </c>
      <c r="AR2" s="1" t="s">
        <v>19</v>
      </c>
      <c r="AS2" s="1" t="s">
        <v>20</v>
      </c>
      <c r="AT2" s="1" t="s">
        <v>21</v>
      </c>
      <c r="AU2" s="1" t="s">
        <v>15</v>
      </c>
      <c r="AV2" s="1" t="s">
        <v>13</v>
      </c>
      <c r="AW2" s="1" t="s">
        <v>16</v>
      </c>
      <c r="AX2" s="1" t="s">
        <v>13</v>
      </c>
      <c r="AY2" s="1" t="s">
        <v>14</v>
      </c>
      <c r="AZ2" s="1" t="s">
        <v>17</v>
      </c>
      <c r="BA2" s="84"/>
      <c r="BB2" s="84"/>
      <c r="BC2" s="84"/>
      <c r="BD2" s="84"/>
      <c r="BE2" s="84"/>
      <c r="BF2" s="84"/>
      <c r="BG2" s="84"/>
      <c r="BH2" s="85"/>
      <c r="BI2" s="85"/>
      <c r="BJ2" s="1" t="s">
        <v>22</v>
      </c>
      <c r="BK2" s="1" t="s">
        <v>23</v>
      </c>
      <c r="BL2" s="1" t="s">
        <v>24</v>
      </c>
      <c r="BM2" s="1" t="s">
        <v>25</v>
      </c>
      <c r="BN2" s="1" t="s">
        <v>22</v>
      </c>
      <c r="BO2" s="1" t="s">
        <v>23</v>
      </c>
      <c r="BP2" s="1" t="s">
        <v>24</v>
      </c>
      <c r="BQ2" s="1" t="s">
        <v>25</v>
      </c>
    </row>
    <row r="3" spans="1:69" ht="18" customHeight="1">
      <c r="A3" s="4">
        <v>1</v>
      </c>
      <c r="B3" s="5" t="s">
        <v>26</v>
      </c>
      <c r="C3" s="6" t="s">
        <v>27</v>
      </c>
      <c r="D3" s="6"/>
      <c r="E3" s="7">
        <v>4</v>
      </c>
      <c r="F3" s="8"/>
      <c r="G3" s="9" t="s">
        <v>28</v>
      </c>
      <c r="H3" s="10"/>
      <c r="I3" s="10"/>
      <c r="J3" s="11" t="s">
        <v>29</v>
      </c>
      <c r="K3" s="11" t="s">
        <v>29</v>
      </c>
      <c r="L3" s="11" t="s">
        <v>29</v>
      </c>
      <c r="M3" s="11" t="s">
        <v>29</v>
      </c>
      <c r="N3" s="12"/>
      <c r="O3" s="13" t="s">
        <v>29</v>
      </c>
      <c r="P3" s="13" t="s">
        <v>29</v>
      </c>
      <c r="Q3" s="8"/>
      <c r="R3" s="9" t="s">
        <v>29</v>
      </c>
      <c r="S3" s="10"/>
      <c r="T3" s="10"/>
      <c r="U3" s="11" t="s">
        <v>29</v>
      </c>
      <c r="V3" s="11" t="s">
        <v>29</v>
      </c>
      <c r="W3" s="11" t="s">
        <v>29</v>
      </c>
      <c r="X3" s="11" t="s">
        <v>29</v>
      </c>
      <c r="Y3" s="11" t="s">
        <v>29</v>
      </c>
      <c r="Z3" s="11" t="s">
        <v>29</v>
      </c>
      <c r="AA3" s="8"/>
      <c r="AB3" s="9" t="s">
        <v>29</v>
      </c>
      <c r="AC3" s="12"/>
      <c r="AD3" s="13" t="s">
        <v>29</v>
      </c>
      <c r="AE3" s="10"/>
      <c r="AF3" s="10"/>
      <c r="AG3" s="14" t="s">
        <v>29</v>
      </c>
      <c r="AH3" s="14" t="s">
        <v>29</v>
      </c>
      <c r="AI3" s="11" t="s">
        <v>29</v>
      </c>
      <c r="AJ3" s="11" t="s">
        <v>29</v>
      </c>
      <c r="AK3" s="11" t="s">
        <v>29</v>
      </c>
      <c r="AL3" s="8"/>
      <c r="AM3" s="9" t="s">
        <v>29</v>
      </c>
      <c r="AN3" s="6" t="s">
        <v>30</v>
      </c>
      <c r="AO3" s="6"/>
      <c r="AP3" s="11" t="s">
        <v>29</v>
      </c>
      <c r="AQ3" s="11" t="s">
        <v>29</v>
      </c>
      <c r="AR3" s="15">
        <v>2</v>
      </c>
      <c r="AS3" s="7">
        <v>2</v>
      </c>
      <c r="AT3" s="15">
        <v>2</v>
      </c>
      <c r="AU3" s="15">
        <v>2</v>
      </c>
      <c r="AV3" s="8">
        <v>0.375</v>
      </c>
      <c r="AW3" s="16">
        <v>7</v>
      </c>
      <c r="AX3" s="17" t="s">
        <v>31</v>
      </c>
      <c r="AY3" s="17">
        <v>0.5</v>
      </c>
      <c r="AZ3" s="11">
        <v>3</v>
      </c>
      <c r="BA3" s="18" cm="1">
        <f t="array" ref="BA3">SUMPRODUCT((E3:AZ3=1)+(E3:AZ3=2))</f>
        <v>4</v>
      </c>
      <c r="BB3" s="18">
        <f t="shared" ref="BB3:BB17" si="0">COUNTIF(E3:AZ3,3)</f>
        <v>1</v>
      </c>
      <c r="BC3" s="18" cm="1">
        <f t="array" ref="BC3">SUMPRODUCT((E3:AZ3=4)+(E3:AZ3=5))</f>
        <v>1</v>
      </c>
      <c r="BD3" s="18">
        <f t="shared" ref="BD3:BD17" si="1">COUNTIF(E3:AZ3,"C")</f>
        <v>0</v>
      </c>
      <c r="BE3" s="18">
        <f t="shared" ref="BE3:BE17" si="2">COUNTIF(E3:AZ3,"V")</f>
        <v>23</v>
      </c>
      <c r="BF3" s="18">
        <f t="shared" ref="BF3:BF17" si="3">COUNTIF(E3:AZ3,"I")</f>
        <v>0</v>
      </c>
      <c r="BG3" s="18">
        <f t="shared" ref="BG3:BG17" si="4">COUNTIF(E3:AZ3,"O")+COUNTIF(E3:AZ3,"N")+COUNTIF(E3:AZ3,"R")+COUNTIF(E3:AZ3,"P")</f>
        <v>0</v>
      </c>
      <c r="BH3" s="19" cm="1">
        <f t="array" ref="BH3">SUMPRODUCT(($E$2:$AZ$2="Do.")*((E3:AZ3=6)+(E3:AZ3=7)+(E3:AZ3=8)+(E3:AZ3=10)+(E3:AZ3=12))+(($E$2:$AZ$2&lt;&gt;"Do.")*((E3:AZ3=6)+(E3:AZ3=7)+(E3:AZ3=8)+(E3:AZ3=10)+(E3:AZ3=12))))*7+SUMPRODUCT(($E$2:$AZ$2="Do.")*((E3:AZ3=9))+(($E$2:$AZ$2&lt;&gt;"Do.")*((E3:AZ3=9))))*13</f>
        <v>7</v>
      </c>
      <c r="BI3" s="18" cm="1">
        <f t="array" ref="BI3">SUMPRODUCT(($E$2:$AZ$2="Do.")*((E3:AZ3=6)+(E3:AZ3=7)+(E3:AZ3=8)+(E3:AZ3=9)+(E3:AZ3=10)+(E3:AZ3=12)))</f>
        <v>1</v>
      </c>
      <c r="BJ3" s="18" cm="1">
        <f t="array" ref="BJ3">SUMPRODUCT(([1]Julio!$AL$2:$AW$2="Do.")*(([1]Julio!AL3:AW3=6)+([1]Julio!AL3:AW3=7)+([1]Julio!AL3:AW3=8)+([1]Julio!AL3:AW3=10)+([1]Julio!AL3:AW3=12))+(([1]Julio!$AL$2:$AW$2&lt;&gt;"Do.")*(([1]Julio!AL3:AW3=6)+([1]Julio!AL3:AW3=7)+([1]Julio!AL3:AW3=8)+([1]Julio!AL3:AW3=10)+([1]Julio!AL3:AW3=12))))*7
+SUMPRODUCT(([1]Julio!$AL$2:$AW$2="Do.")*(([1]Julio!AL3:AW3=9))+(([1]Julio!$AL$2:$AW$2&lt;&gt;"Do.")*(([1]Julio!AL3:AW3=9))))*13
+SUMPRODUCT(($E$2:$L$2="Do.")*((E3:L3=6)+(E3:L3=7)+(E3:L3=8)+(E3:L3=10)+(E3:L3=12))+(($E$2:$L$2&lt;&gt;"Do.")*((E3:L3=6)+(E3:L3=7)+(E3:L3=8)+(E3:L3=10)+(E3:L3=12))))*7
+SUMPRODUCT(($E$2:$L$2="Do.")*((E3:L3=9))+(($E$2:$L$2&lt;&gt;"Do.")*((E3:L3=9))))*13</f>
        <v>0</v>
      </c>
      <c r="BK3" s="20" cm="1">
        <f t="array" ref="BK3">SUMPRODUCT(($E$2:L$2&lt;&gt;"Do.")*(E3:L3=5))*3
+SUMPRODUCT(($E$2:$L$2&lt;&gt;"Do.")*(E3:L3=4)*ISNUMBER(MATCH($E$2:$L$2,{"Ma.";"Lu.";"Mi.";"Ju.";"Vi.";"Sá."},0)))*1.5
+SUMPRODUCT(([1]Julio!$AL$2:$AW$2&lt;&gt;"Do.")*([1]Julio!AL3:AW3=5))*3
+SUMPRODUCT(([1]Julio!$AL$2:$AW$2&lt;&gt;"Do.")*([1]Julio!AL3:AW3=4)*ISNUMBER(MATCH([1]Julio!$AL$2:$AW$2,{"Ma.";"Lu.";"Mi.";"Ju.";"Vi.";"Sá."},0)))*1.5</f>
        <v>7.5</v>
      </c>
      <c r="BL3" s="11" t="str">
        <f>IFERROR(IF((VLOOKUP(B3,[2]DOMINICALES!D$7:H$27,5,FALSE))
+(VLOOKUP(B3,'[2]HORAS EXTRAS NOCTURNAS FESTIVAS'!D$7:H$27,5,FALSE))=BJ3,"OK","MAL"),"NO")</f>
        <v>OK</v>
      </c>
      <c r="BM3" s="11" t="str">
        <f>IFERROR(IF(VLOOKUP(B3,'[2]RECARGO NOCTURNO'!C$6:Q$26,15,FALSE)=BK3,"OK","MAL"),"NO")</f>
        <v>OK</v>
      </c>
      <c r="BN3" s="18" cm="1">
        <f t="array" ref="BN3">SUMPRODUCT(($M$2:$AI$2="Do.")*((M3:AI3=6)+(M3:AI3=7)+(M3:AI3=8)+(M3:AI3=10)+(M3:AI3=12))+(($M$2:$AI$2&lt;&gt;"Do.")*((M3:AI3=6)+(M3:AI3=7)+(M3:AI3=8)+(M3:AI3=10)+(M3:AI3=12))))*7
+SUMPRODUCT(($M$2:$AI$2="Do.")*((M3:AI3=9))+(($M$2:$AI$2&lt;&gt;"Do.")*((M3:AI3=9))))*13</f>
        <v>0</v>
      </c>
      <c r="BO3" s="20" cm="1">
        <f t="array" ref="BO3">SUMPRODUCT(($M$2:$AI$2&lt;&gt;"Do.")*(M3:AI3=5))*3
+SUMPRODUCT(($M$2:$AI$2&lt;&gt;"Do.")*(M3:AI3=4)*1.5
)</f>
        <v>0</v>
      </c>
      <c r="BP3" s="11" t="str">
        <f>IFERROR(IF((VLOOKUP(B3,[3]DOMINICALES!D$7:J$30,7,FALSE))
+(VLOOKUP(B3,'[3]HORAS EXTRAS NOCTURNAS FESTIVAS'!D$7:J$30,7,FALSE))=BN3,"OK","MAL"),"NO")</f>
        <v>OK</v>
      </c>
      <c r="BQ3" s="11" t="str">
        <f>IFERROR(IF(VLOOKUP(B3,'[3]RECARGO NOCTURNO'!C$6:P$29,14,FALSE)=BO3,"OK","MAL"),"NO")</f>
        <v>OK</v>
      </c>
    </row>
    <row r="4" spans="1:69" ht="18" customHeight="1">
      <c r="A4" s="4">
        <v>2</v>
      </c>
      <c r="B4" s="22" t="s">
        <v>32</v>
      </c>
      <c r="C4" s="6" t="s">
        <v>33</v>
      </c>
      <c r="D4" s="6"/>
      <c r="E4" s="11">
        <v>5</v>
      </c>
      <c r="F4" s="8"/>
      <c r="G4" s="9" t="s">
        <v>28</v>
      </c>
      <c r="H4" s="6" t="s">
        <v>34</v>
      </c>
      <c r="I4" s="6"/>
      <c r="J4" s="7">
        <v>1</v>
      </c>
      <c r="K4" s="7">
        <v>1</v>
      </c>
      <c r="L4" s="7">
        <v>1</v>
      </c>
      <c r="M4" s="7">
        <v>1</v>
      </c>
      <c r="N4" s="12"/>
      <c r="O4" s="13" t="s">
        <v>28</v>
      </c>
      <c r="P4" s="7">
        <v>1</v>
      </c>
      <c r="Q4" s="8">
        <v>0.375</v>
      </c>
      <c r="R4" s="16">
        <v>7</v>
      </c>
      <c r="S4" s="6" t="s">
        <v>27</v>
      </c>
      <c r="T4" s="6"/>
      <c r="U4" s="11">
        <v>4</v>
      </c>
      <c r="V4" s="11">
        <v>4</v>
      </c>
      <c r="W4" s="11">
        <v>4</v>
      </c>
      <c r="X4" s="11">
        <v>4</v>
      </c>
      <c r="Y4" s="11">
        <v>4</v>
      </c>
      <c r="Z4" s="11">
        <v>4</v>
      </c>
      <c r="AA4" s="8"/>
      <c r="AB4" s="9" t="s">
        <v>28</v>
      </c>
      <c r="AC4" s="12">
        <v>0.64583333333333337</v>
      </c>
      <c r="AD4" s="13">
        <v>8</v>
      </c>
      <c r="AE4" s="6" t="s">
        <v>35</v>
      </c>
      <c r="AF4" s="6">
        <v>0.5</v>
      </c>
      <c r="AG4" s="11">
        <v>3</v>
      </c>
      <c r="AH4" s="11">
        <v>3</v>
      </c>
      <c r="AI4" s="11">
        <v>3</v>
      </c>
      <c r="AJ4" s="11">
        <v>3</v>
      </c>
      <c r="AK4" s="11">
        <v>3</v>
      </c>
      <c r="AL4" s="8"/>
      <c r="AM4" s="9" t="s">
        <v>28</v>
      </c>
      <c r="AN4" s="6" t="s">
        <v>27</v>
      </c>
      <c r="AO4" s="6"/>
      <c r="AP4" s="11">
        <v>4</v>
      </c>
      <c r="AQ4" s="11">
        <v>4</v>
      </c>
      <c r="AR4" s="11">
        <v>4</v>
      </c>
      <c r="AS4" s="11">
        <v>4</v>
      </c>
      <c r="AT4" s="11">
        <v>4</v>
      </c>
      <c r="AU4" s="11">
        <v>4</v>
      </c>
      <c r="AV4" s="8">
        <v>0.5</v>
      </c>
      <c r="AW4" s="9">
        <v>6</v>
      </c>
      <c r="AX4" s="17" t="s">
        <v>36</v>
      </c>
      <c r="AY4" s="17"/>
      <c r="AZ4" s="7">
        <v>2</v>
      </c>
      <c r="BA4" s="18" cm="1">
        <f t="array" ref="BA4">SUMPRODUCT((E4:AZ4=1)+(E4:AZ4=2))</f>
        <v>6</v>
      </c>
      <c r="BB4" s="18">
        <f t="shared" si="0"/>
        <v>5</v>
      </c>
      <c r="BC4" s="18" cm="1">
        <f t="array" ref="BC4">SUMPRODUCT((E4:AZ4=4)+(E4:AZ4=5))</f>
        <v>13</v>
      </c>
      <c r="BD4" s="18">
        <f t="shared" si="1"/>
        <v>0</v>
      </c>
      <c r="BE4" s="18">
        <f t="shared" si="2"/>
        <v>0</v>
      </c>
      <c r="BF4" s="18">
        <f t="shared" si="3"/>
        <v>0</v>
      </c>
      <c r="BG4" s="18">
        <f t="shared" si="4"/>
        <v>0</v>
      </c>
      <c r="BH4" s="23" cm="1">
        <f t="array" ref="BH4">SUMPRODUCT(($E$2:$AZ$2="Do.")*((E4:AZ4=6)+(E4:AZ4=7)+(E4:AZ4=8)+(E4:AZ4=10)+(E4:AZ4=12))+(($E$2:$AZ$2&lt;&gt;"Do.")*((E4:AZ4=6)+(E4:AZ4=7)+(E4:AZ4=8)+(E4:AZ4=10)+(E4:AZ4=12))))*7+SUMPRODUCT(($E$2:$AZ$2="Do.")*((E4:AZ4=9))+(($E$2:$AZ$2&lt;&gt;"Do.")*((E4:AZ4=9))))*13</f>
        <v>21</v>
      </c>
      <c r="BI4" s="18" cm="1">
        <f t="array" ref="BI4">SUMPRODUCT(($E$2:$AZ$2="Do.")*((E4:AZ4=6)+(E4:AZ4=7)+(E4:AZ4=8)+(E4:AZ4=9)+(E4:AZ4=10)+(E4:AZ4=12)))</f>
        <v>2</v>
      </c>
      <c r="BJ4" s="18" cm="1">
        <f t="array" ref="BJ4">SUMPRODUCT(([1]Julio!$AL$2:$AW$2="Do.")*(([1]Julio!AL4:AW4=6)+([1]Julio!AL4:AW4=7)+([1]Julio!AL4:AW4=8)+([1]Julio!AL4:AW4=10)+([1]Julio!AL4:AW4=12))+(([1]Julio!$AL$2:$AW$2&lt;&gt;"Do.")*(([1]Julio!AL4:AW4=6)+([1]Julio!AL4:AW4=7)+([1]Julio!AL4:AW4=8)+([1]Julio!AL4:AW4=10)+([1]Julio!AL4:AW4=12))))*7
+SUMPRODUCT(([1]Julio!$AL$2:$AW$2="Do.")*(([1]Julio!AL4:AW4=9))+(([1]Julio!$AL$2:$AW$2&lt;&gt;"Do.")*(([1]Julio!AL4:AW4=9))))*13
+SUMPRODUCT(($E$2:$L$2="Do.")*((E4:L4=6)+(E4:L4=7)+(E4:L4=8)+(E4:L4=10)+(E4:L4=12))+(($E$2:$L$2&lt;&gt;"Do.")*((E4:L4=6)+(E4:L4=7)+(E4:L4=8)+(E4:L4=10)+(E4:L4=12))))*7
+SUMPRODUCT(($E$2:$L$2="Do.")*((E4:L4=9))+(($E$2:$L$2&lt;&gt;"Do.")*((E4:L4=9))))*13</f>
        <v>7</v>
      </c>
      <c r="BK4" s="20" cm="1">
        <f t="array" ref="BK4">SUMPRODUCT(($E$2:L$2&lt;&gt;"Do.")*(E4:L4=5))*3
+SUMPRODUCT(($E$2:$L$2&lt;&gt;"Do.")*(E4:L4=4)*ISNUMBER(MATCH($E$2:$L$2,{"Ma.";"Lu.";"Mi.";"Ju.";"Vi.";"Sá."},0)))*1.5
+SUMPRODUCT(([1]Julio!$AL$2:$AW$2&lt;&gt;"Do.")*([1]Julio!AL4:AW4=5))*3
+SUMPRODUCT(([1]Julio!$AL$2:$AW$2&lt;&gt;"Do.")*([1]Julio!AL4:AW4=4)*ISNUMBER(MATCH([1]Julio!$AL$2:$AW$2,{"Ma.";"Lu.";"Mi.";"Ju.";"Vi.";"Sá."},0)))*1.5</f>
        <v>18</v>
      </c>
      <c r="BL4" s="11" t="str">
        <f>IFERROR(IF((VLOOKUP(B4,[2]DOMINICALES!D$7:H$27,5,FALSE))
+(VLOOKUP(B4,'[2]HORAS EXTRAS NOCTURNAS FESTIVAS'!D$7:H$27,5,FALSE))=BJ4,"OK","MAL"),"NO")</f>
        <v>OK</v>
      </c>
      <c r="BM4" s="11" t="str">
        <f>IFERROR(IF(VLOOKUP(B4,'[2]RECARGO NOCTURNO'!C$6:Q$26,15,FALSE)=BK4,"OK","MAL"),"NO")</f>
        <v>OK</v>
      </c>
      <c r="BN4" s="18" cm="1">
        <f t="array" ref="BN4">SUMPRODUCT(($M$2:$AI$2="Do.")*((M4:AI4=6)+(M4:AI4=7)+(M4:AI4=8)+(M4:AI4=10)+(M4:AI4=12))+(($M$2:$AI$2&lt;&gt;"Do.")*((M4:AI4=6)+(M4:AI4=7)+(M4:AI4=8)+(M4:AI4=10)+(M4:AI4=12))))*7
+SUMPRODUCT(($M$2:$AI$2="Do.")*((M4:AI4=9))+(($M$2:$AI$2&lt;&gt;"Do.")*((M4:AI4=9))))*13</f>
        <v>14</v>
      </c>
      <c r="BO4" s="20" cm="1">
        <f t="array" ref="BO4">SUMPRODUCT(($M$2:$AI$2&lt;&gt;"Do.")*(M4:AI4=5))*3
+SUMPRODUCT(($M$2:$AI$2&lt;&gt;"Do.")*(M4:AI4=4)*1.5
)</f>
        <v>9</v>
      </c>
      <c r="BP4" s="11" t="str">
        <f>IFERROR(IF((VLOOKUP(B4,[3]DOMINICALES!D$7:J$30,7,FALSE))
+(VLOOKUP(B4,'[3]HORAS EXTRAS NOCTURNAS FESTIVAS'!D$7:J$30,7,FALSE))=BN4,"OK","MAL"),"NO")</f>
        <v>OK</v>
      </c>
      <c r="BQ4" s="11" t="str">
        <f>IFERROR(IF(VLOOKUP(B4,'[3]RECARGO NOCTURNO'!C$6:P$29,14,FALSE)=BO4,"OK","MAL"),"NO")</f>
        <v>OK</v>
      </c>
    </row>
    <row r="5" spans="1:69" ht="20.25" customHeight="1">
      <c r="A5" s="4">
        <v>3</v>
      </c>
      <c r="B5" s="22" t="s">
        <v>37</v>
      </c>
      <c r="C5" s="10"/>
      <c r="D5" s="10"/>
      <c r="E5" s="11" t="s">
        <v>29</v>
      </c>
      <c r="F5" s="8"/>
      <c r="G5" s="11" t="s">
        <v>29</v>
      </c>
      <c r="H5" s="6" t="s">
        <v>27</v>
      </c>
      <c r="I5" s="6"/>
      <c r="J5" s="11" t="s">
        <v>29</v>
      </c>
      <c r="K5" s="11">
        <v>4</v>
      </c>
      <c r="L5" s="11">
        <v>4</v>
      </c>
      <c r="M5" s="11">
        <v>4</v>
      </c>
      <c r="N5" s="12">
        <v>0.47916666666666669</v>
      </c>
      <c r="O5" s="13">
        <v>12</v>
      </c>
      <c r="P5" s="11">
        <v>4</v>
      </c>
      <c r="Q5" s="8">
        <v>0.64583333333333337</v>
      </c>
      <c r="R5" s="9">
        <v>8</v>
      </c>
      <c r="S5" s="24" t="s">
        <v>38</v>
      </c>
      <c r="T5" s="17"/>
      <c r="U5" s="25">
        <v>2</v>
      </c>
      <c r="V5" s="25">
        <v>2</v>
      </c>
      <c r="W5" s="25">
        <v>2</v>
      </c>
      <c r="X5" s="25">
        <v>2</v>
      </c>
      <c r="Y5" s="25">
        <v>2</v>
      </c>
      <c r="Z5" s="25">
        <v>2</v>
      </c>
      <c r="AA5" s="8"/>
      <c r="AB5" s="9" t="s">
        <v>28</v>
      </c>
      <c r="AC5" s="12"/>
      <c r="AD5" s="13" t="s">
        <v>28</v>
      </c>
      <c r="AE5" s="26" t="s">
        <v>39</v>
      </c>
      <c r="AF5" s="26"/>
      <c r="AG5" s="16">
        <v>5</v>
      </c>
      <c r="AH5" s="16">
        <v>5</v>
      </c>
      <c r="AI5" s="16">
        <v>5</v>
      </c>
      <c r="AJ5" s="16">
        <v>5</v>
      </c>
      <c r="AK5" s="16">
        <v>5</v>
      </c>
      <c r="AL5" s="8">
        <v>0.64583333333333337</v>
      </c>
      <c r="AM5" s="16">
        <v>8</v>
      </c>
      <c r="AN5" s="6" t="s">
        <v>40</v>
      </c>
      <c r="AO5" s="6"/>
      <c r="AP5" s="7">
        <v>4</v>
      </c>
      <c r="AQ5" s="7">
        <v>4</v>
      </c>
      <c r="AR5" s="7">
        <v>4</v>
      </c>
      <c r="AS5" s="7">
        <v>4</v>
      </c>
      <c r="AT5" s="7">
        <v>4</v>
      </c>
      <c r="AU5" s="7">
        <v>4</v>
      </c>
      <c r="AV5" s="8"/>
      <c r="AW5" s="9" t="s">
        <v>28</v>
      </c>
      <c r="AX5" s="17" t="s">
        <v>41</v>
      </c>
      <c r="AY5" s="17">
        <v>0.5625</v>
      </c>
      <c r="AZ5" s="15">
        <v>3</v>
      </c>
      <c r="BA5" s="18" cm="1">
        <f t="array" ref="BA5">SUMPRODUCT((E5:AZ5=1)+(E5:AZ5=2))</f>
        <v>6</v>
      </c>
      <c r="BB5" s="18">
        <f t="shared" si="0"/>
        <v>1</v>
      </c>
      <c r="BC5" s="18" cm="1">
        <f t="array" ref="BC5">SUMPRODUCT((E5:AZ5=4)+(E5:AZ5=5))</f>
        <v>15</v>
      </c>
      <c r="BD5" s="18">
        <f t="shared" si="1"/>
        <v>0</v>
      </c>
      <c r="BE5" s="18">
        <f t="shared" si="2"/>
        <v>3</v>
      </c>
      <c r="BF5" s="18">
        <f t="shared" si="3"/>
        <v>0</v>
      </c>
      <c r="BG5" s="18">
        <f t="shared" si="4"/>
        <v>0</v>
      </c>
      <c r="BH5" s="23" cm="1">
        <f t="array" ref="BH5">SUMPRODUCT(($E$2:$AZ$2="Do.")*((E5:AZ5=6)+(E5:AZ5=7)+(E5:AZ5=8)+(E5:AZ5=10)+(E5:AZ5=12))+(($E$2:$AZ$2&lt;&gt;"Do.")*((E5:AZ5=6)+(E5:AZ5=7)+(E5:AZ5=8)+(E5:AZ5=10)+(E5:AZ5=12))))*7+SUMPRODUCT(($E$2:$AZ$2="Do.")*((E5:AZ5=9))+(($E$2:$AZ$2&lt;&gt;"Do.")*((E5:AZ5=9))))*13</f>
        <v>21</v>
      </c>
      <c r="BI5" s="18" cm="1">
        <f t="array" ref="BI5">SUMPRODUCT(($E$2:$AZ$2="Do.")*((E5:AZ5=6)+(E5:AZ5=7)+(E5:AZ5=8)+(E5:AZ5=9)+(E5:AZ5=10)+(E5:AZ5=12)))</f>
        <v>2</v>
      </c>
      <c r="BJ5" s="18" cm="1">
        <f t="array" ref="BJ5">SUMPRODUCT(([1]Julio!$AL$2:$AW$2="Do.")*(([1]Julio!AL5:AW5=6)+([1]Julio!AL5:AW5=7)+([1]Julio!AL5:AW5=8)+([1]Julio!AL5:AW5=10)+([1]Julio!AL5:AW5=12))+(([1]Julio!$AL$2:$AW$2&lt;&gt;"Do.")*(([1]Julio!AL5:AW5=6)+([1]Julio!AL5:AW5=7)+([1]Julio!AL5:AW5=8)+([1]Julio!AL5:AW5=10)+([1]Julio!AL5:AW5=12))))*7
+SUMPRODUCT(([1]Julio!$AL$2:$AW$2="Do.")*(([1]Julio!AL5:AW5=9))+(([1]Julio!$AL$2:$AW$2&lt;&gt;"Do.")*(([1]Julio!AL5:AW5=9))))*13
+SUMPRODUCT(($E$2:$L$2="Do.")*((E5:L5=6)+(E5:L5=7)+(E5:L5=8)+(E5:L5=10)+(E5:L5=12))+(($E$2:$L$2&lt;&gt;"Do.")*((E5:L5=6)+(E5:L5=7)+(E5:L5=8)+(E5:L5=10)+(E5:L5=12))))*7
+SUMPRODUCT(($E$2:$L$2="Do.")*((E5:L5=9))+(($E$2:$L$2&lt;&gt;"Do.")*((E5:L5=9))))*13</f>
        <v>0</v>
      </c>
      <c r="BK5" s="20" cm="1">
        <f t="array" ref="BK5">SUMPRODUCT(($E$2:L$2&lt;&gt;"Do.")*(E5:L5=5))*3
+SUMPRODUCT(($E$2:$L$2&lt;&gt;"Do.")*(E5:L5=4)*ISNUMBER(MATCH($E$2:$L$2,{"Ma.";"Lu.";"Mi.";"Ju.";"Vi.";"Sá."},0)))*1.5
+SUMPRODUCT(([1]Julio!$AL$2:$AW$2&lt;&gt;"Do.")*([1]Julio!AL5:AW5=5))*3
+SUMPRODUCT(([1]Julio!$AL$2:$AW$2&lt;&gt;"Do.")*([1]Julio!AL5:AW5=4)*ISNUMBER(MATCH([1]Julio!$AL$2:$AW$2,{"Ma.";"Lu.";"Mi.";"Ju.";"Vi.";"Sá."},0)))*1.5</f>
        <v>3</v>
      </c>
      <c r="BL5" s="11" t="str">
        <f>IFERROR(IF((VLOOKUP(B5,[2]DOMINICALES!D$7:H$27,5,FALSE))
+(VLOOKUP(B5,'[2]HORAS EXTRAS NOCTURNAS FESTIVAS'!D$7:H$27,5,FALSE))=BJ5,"OK","MAL"),"NO")</f>
        <v>OK</v>
      </c>
      <c r="BM5" s="11" t="str">
        <f>IFERROR(IF(VLOOKUP(B5,'[2]RECARGO NOCTURNO'!C$6:Q$26,15,FALSE)=BK5,"OK","MAL"),"NO")</f>
        <v>OK</v>
      </c>
      <c r="BN5" s="18" cm="1">
        <f t="array" ref="BN5">SUMPRODUCT(($M$2:$AI$2="Do.")*((M5:AI5=6)+(M5:AI5=7)+(M5:AI5=8)+(M5:AI5=10)+(M5:AI5=12))+(($M$2:$AI$2&lt;&gt;"Do.")*((M5:AI5=6)+(M5:AI5=7)+(M5:AI5=8)+(M5:AI5=10)+(M5:AI5=12))))*7
+SUMPRODUCT(($M$2:$AI$2="Do.")*((M5:AI5=9))+(($M$2:$AI$2&lt;&gt;"Do.")*((M5:AI5=9))))*13</f>
        <v>14</v>
      </c>
      <c r="BO5" s="20" cm="1">
        <f t="array" ref="BO5">SUMPRODUCT(($M$2:$AI$2&lt;&gt;"Do.")*(M5:AI5=5))*3
+SUMPRODUCT(($M$2:$AI$2&lt;&gt;"Do.")*(M5:AI5=4)*1.5
)</f>
        <v>12</v>
      </c>
      <c r="BP5" s="11" t="str">
        <f>IFERROR(IF((VLOOKUP(B5,[3]DOMINICALES!D$7:J$30,7,FALSE))
+(VLOOKUP(B5,'[3]HORAS EXTRAS NOCTURNAS FESTIVAS'!D$7:J$30,7,FALSE))=BN5,"OK","MAL"),"NO")</f>
        <v>OK</v>
      </c>
      <c r="BQ5" s="11" t="str">
        <f>IFERROR(IF(VLOOKUP(B5,'[3]RECARGO NOCTURNO'!C$6:P$29,14,FALSE)=BO5,"OK","MAL"),"NO")</f>
        <v>OK</v>
      </c>
    </row>
    <row r="6" spans="1:69" ht="14.25">
      <c r="A6" s="4">
        <v>4</v>
      </c>
      <c r="B6" s="5" t="s">
        <v>42</v>
      </c>
      <c r="C6" s="6" t="s">
        <v>43</v>
      </c>
      <c r="D6" s="6">
        <v>0.5</v>
      </c>
      <c r="E6" s="11">
        <v>3</v>
      </c>
      <c r="F6" s="8">
        <v>0.47916666666666669</v>
      </c>
      <c r="G6" s="9">
        <v>12</v>
      </c>
      <c r="H6" s="6" t="s">
        <v>40</v>
      </c>
      <c r="I6" s="6"/>
      <c r="J6" s="7">
        <v>4</v>
      </c>
      <c r="K6" s="7">
        <v>4</v>
      </c>
      <c r="L6" s="7">
        <v>4</v>
      </c>
      <c r="M6" s="7">
        <v>4</v>
      </c>
      <c r="N6" s="12"/>
      <c r="O6" s="13" t="s">
        <v>28</v>
      </c>
      <c r="P6" s="7">
        <v>4</v>
      </c>
      <c r="Q6" s="8">
        <v>0.66666666666666663</v>
      </c>
      <c r="R6" s="9">
        <v>8</v>
      </c>
      <c r="S6" s="6" t="s">
        <v>34</v>
      </c>
      <c r="T6" s="6"/>
      <c r="U6" s="27">
        <v>1</v>
      </c>
      <c r="V6" s="27">
        <v>1</v>
      </c>
      <c r="W6" s="27">
        <v>1</v>
      </c>
      <c r="X6" s="27">
        <v>1</v>
      </c>
      <c r="Y6" s="27">
        <v>1</v>
      </c>
      <c r="Z6" s="27">
        <v>1</v>
      </c>
      <c r="AA6" s="8"/>
      <c r="AB6" s="9" t="s">
        <v>28</v>
      </c>
      <c r="AC6" s="12">
        <v>0.5</v>
      </c>
      <c r="AD6" s="13">
        <v>6</v>
      </c>
      <c r="AE6" s="6" t="s">
        <v>44</v>
      </c>
      <c r="AF6" s="6"/>
      <c r="AG6" s="15">
        <v>1</v>
      </c>
      <c r="AH6" s="15">
        <v>1</v>
      </c>
      <c r="AI6" s="15">
        <v>1</v>
      </c>
      <c r="AJ6" s="11">
        <v>4</v>
      </c>
      <c r="AK6" s="11">
        <v>5</v>
      </c>
      <c r="AL6" s="8"/>
      <c r="AM6" s="9" t="s">
        <v>28</v>
      </c>
      <c r="AN6" s="17" t="s">
        <v>34</v>
      </c>
      <c r="AO6" s="6"/>
      <c r="AP6" s="7">
        <v>5</v>
      </c>
      <c r="AQ6" s="7">
        <v>5</v>
      </c>
      <c r="AR6" s="7">
        <v>5</v>
      </c>
      <c r="AS6" s="7">
        <v>1</v>
      </c>
      <c r="AT6" s="7">
        <v>1</v>
      </c>
      <c r="AU6" s="7">
        <v>1</v>
      </c>
      <c r="AV6" s="8"/>
      <c r="AW6" s="9" t="s">
        <v>28</v>
      </c>
      <c r="AX6" s="26" t="s">
        <v>35</v>
      </c>
      <c r="AY6" s="26">
        <v>0.5</v>
      </c>
      <c r="AZ6" s="16">
        <v>3</v>
      </c>
      <c r="BA6" s="18" cm="1">
        <f t="array" ref="BA6">SUMPRODUCT((E6:AZ6=1)+(E6:AZ6=2))</f>
        <v>12</v>
      </c>
      <c r="BB6" s="18">
        <f t="shared" si="0"/>
        <v>2</v>
      </c>
      <c r="BC6" s="18" cm="1">
        <f t="array" ref="BC6">SUMPRODUCT((E6:AZ6=4)+(E6:AZ6=5))</f>
        <v>10</v>
      </c>
      <c r="BD6" s="18">
        <f t="shared" si="1"/>
        <v>0</v>
      </c>
      <c r="BE6" s="18">
        <f t="shared" si="2"/>
        <v>0</v>
      </c>
      <c r="BF6" s="18">
        <f t="shared" si="3"/>
        <v>0</v>
      </c>
      <c r="BG6" s="18">
        <f t="shared" si="4"/>
        <v>0</v>
      </c>
      <c r="BH6" s="23" cm="1">
        <f t="array" ref="BH6">SUMPRODUCT(($E$2:$AZ$2="Do.")*((E6:AZ6=6)+(E6:AZ6=7)+(E6:AZ6=8)+(E6:AZ6=10)+(E6:AZ6=12))+(($E$2:$AZ$2&lt;&gt;"Do.")*((E6:AZ6=6)+(E6:AZ6=7)+(E6:AZ6=8)+(E6:AZ6=10)+(E6:AZ6=12))))*7+SUMPRODUCT(($E$2:$AZ$2="Do.")*((E6:AZ6=9))+(($E$2:$AZ$2&lt;&gt;"Do.")*((E6:AZ6=9))))*13</f>
        <v>21</v>
      </c>
      <c r="BI6" s="18" cm="1">
        <f t="array" ref="BI6">SUMPRODUCT(($E$2:$AZ$2="Do.")*((E6:AZ6=6)+(E6:AZ6=7)+(E6:AZ6=8)+(E6:AZ6=9)+(E6:AZ6=10)+(E6:AZ6=12)))</f>
        <v>2</v>
      </c>
      <c r="BJ6" s="18" cm="1">
        <f t="array" ref="BJ6">SUMPRODUCT(([1]Julio!$AL$2:$AW$2="Do.")*(([1]Julio!AL6:AW6=6)+([1]Julio!AL6:AW6=7)+([1]Julio!AL6:AW6=8)+([1]Julio!AL6:AW6=10)+([1]Julio!AL6:AW6=12))+(([1]Julio!$AL$2:$AW$2&lt;&gt;"Do.")*(([1]Julio!AL6:AW6=6)+([1]Julio!AL6:AW6=7)+([1]Julio!AL6:AW6=8)+([1]Julio!AL6:AW6=10)+([1]Julio!AL6:AW6=12))))*7
+SUMPRODUCT(([1]Julio!$AL$2:$AW$2="Do.")*(([1]Julio!AL6:AW6=9))+(([1]Julio!$AL$2:$AW$2&lt;&gt;"Do.")*(([1]Julio!AL6:AW6=9))))*13
+SUMPRODUCT(($E$2:$L$2="Do.")*((E6:L6=6)+(E6:L6=7)+(E6:L6=8)+(E6:L6=10)+(E6:L6=12))+(($E$2:$L$2&lt;&gt;"Do.")*((E6:L6=6)+(E6:L6=7)+(E6:L6=8)+(E6:L6=10)+(E6:L6=12))))*7
+SUMPRODUCT(($E$2:$L$2="Do.")*((E6:L6=9))+(($E$2:$L$2&lt;&gt;"Do.")*((E6:L6=9))))*13</f>
        <v>7</v>
      </c>
      <c r="BK6" s="20" cm="1">
        <f t="array" ref="BK6">SUMPRODUCT(($E$2:L$2&lt;&gt;"Do.")*(E6:L6=5))*3
+SUMPRODUCT(($E$2:$L$2&lt;&gt;"Do.")*(E6:L6=4)*ISNUMBER(MATCH($E$2:$L$2,{"Ma.";"Lu.";"Mi.";"Ju.";"Vi.";"Sá."},0)))*1.5
+SUMPRODUCT(([1]Julio!$AL$2:$AW$2&lt;&gt;"Do.")*([1]Julio!AL6:AW6=5))*3
+SUMPRODUCT(([1]Julio!$AL$2:$AW$2&lt;&gt;"Do.")*([1]Julio!AL6:AW6=4)*ISNUMBER(MATCH([1]Julio!$AL$2:$AW$2,{"Ma.";"Lu.";"Mi.";"Ju.";"Vi.";"Sá."},0)))*1.5</f>
        <v>4.5</v>
      </c>
      <c r="BL6" s="11" t="str">
        <f>IFERROR(IF((VLOOKUP(B6,[2]DOMINICALES!D$7:H$27,5,FALSE))
+(VLOOKUP(B6,'[2]HORAS EXTRAS NOCTURNAS FESTIVAS'!D$7:H$27,5,FALSE))=BJ6,"OK","MAL"),"NO")</f>
        <v>OK</v>
      </c>
      <c r="BM6" s="11" t="str">
        <f>IFERROR(IF(VLOOKUP(B6,'[2]RECARGO NOCTURNO'!C$6:Q$26,15,FALSE)=BK6,"OK","MAL"),"NO")</f>
        <v>OK</v>
      </c>
      <c r="BN6" s="18" cm="1">
        <f t="array" ref="BN6">SUMPRODUCT(($M$2:$AI$2="Do.")*((M6:AI6=6)+(M6:AI6=7)+(M6:AI6=8)+(M6:AI6=10)+(M6:AI6=12))+(($M$2:$AI$2&lt;&gt;"Do.")*((M6:AI6=6)+(M6:AI6=7)+(M6:AI6=8)+(M6:AI6=10)+(M6:AI6=12))))*7
+SUMPRODUCT(($M$2:$AI$2="Do.")*((M6:AI6=9))+(($M$2:$AI$2&lt;&gt;"Do.")*((M6:AI6=9))))*13</f>
        <v>14</v>
      </c>
      <c r="BO6" s="20" cm="1">
        <f t="array" ref="BO6">SUMPRODUCT(($M$2:$AI$2&lt;&gt;"Do.")*(M6:AI6=5))*3
+SUMPRODUCT(($M$2:$AI$2&lt;&gt;"Do.")*(M6:AI6=4)*1.5
)</f>
        <v>3</v>
      </c>
      <c r="BP6" s="11" t="str">
        <f>IFERROR(IF((VLOOKUP(B6,[3]DOMINICALES!D$7:J$30,7,FALSE))
+(VLOOKUP(B6,'[3]HORAS EXTRAS NOCTURNAS FESTIVAS'!D$7:J$30,7,FALSE))=BN6,"OK","MAL"),"NO")</f>
        <v>OK</v>
      </c>
      <c r="BQ6" s="11" t="str">
        <f>IFERROR(IF(VLOOKUP(B6,'[3]RECARGO NOCTURNO'!C$6:P$29,14,FALSE)=BO6,"OK","MAL"),"NO")</f>
        <v>OK</v>
      </c>
    </row>
    <row r="7" spans="1:69" ht="18" customHeight="1">
      <c r="A7" s="4">
        <v>5</v>
      </c>
      <c r="B7" s="22" t="s">
        <v>45</v>
      </c>
      <c r="C7" s="6" t="s">
        <v>40</v>
      </c>
      <c r="D7" s="6"/>
      <c r="E7" s="27">
        <v>4</v>
      </c>
      <c r="F7" s="8">
        <v>0.5</v>
      </c>
      <c r="G7" s="9">
        <v>6</v>
      </c>
      <c r="H7" s="6" t="s">
        <v>46</v>
      </c>
      <c r="I7" s="6"/>
      <c r="J7" s="27">
        <v>1</v>
      </c>
      <c r="K7" s="27">
        <v>1</v>
      </c>
      <c r="L7" s="27">
        <v>1</v>
      </c>
      <c r="M7" s="27">
        <v>1</v>
      </c>
      <c r="N7" s="12"/>
      <c r="O7" s="13" t="s">
        <v>28</v>
      </c>
      <c r="P7" s="27">
        <v>1</v>
      </c>
      <c r="Q7" s="8">
        <v>0.6875</v>
      </c>
      <c r="R7" s="16">
        <v>8</v>
      </c>
      <c r="S7" s="6" t="s">
        <v>47</v>
      </c>
      <c r="T7" s="6"/>
      <c r="U7" s="7">
        <v>5</v>
      </c>
      <c r="V7" s="15">
        <v>5</v>
      </c>
      <c r="W7" s="15">
        <v>5</v>
      </c>
      <c r="X7" s="15">
        <v>5</v>
      </c>
      <c r="Y7" s="15">
        <v>5</v>
      </c>
      <c r="Z7" s="15">
        <v>5</v>
      </c>
      <c r="AA7" s="8"/>
      <c r="AB7" s="9" t="s">
        <v>28</v>
      </c>
      <c r="AC7" s="12">
        <v>0.47916666666666669</v>
      </c>
      <c r="AD7" s="13">
        <v>12</v>
      </c>
      <c r="AE7" s="28" t="s">
        <v>36</v>
      </c>
      <c r="AF7" s="6"/>
      <c r="AG7" s="7">
        <v>2</v>
      </c>
      <c r="AH7" s="7">
        <v>2</v>
      </c>
      <c r="AI7" s="7">
        <v>2</v>
      </c>
      <c r="AJ7" s="27">
        <v>5</v>
      </c>
      <c r="AK7" s="7">
        <v>2</v>
      </c>
      <c r="AL7" s="8"/>
      <c r="AM7" s="9" t="s">
        <v>28</v>
      </c>
      <c r="AN7" s="26" t="s">
        <v>35</v>
      </c>
      <c r="AO7" s="26">
        <v>0.5</v>
      </c>
      <c r="AP7" s="16">
        <v>3</v>
      </c>
      <c r="AQ7" s="16">
        <v>3</v>
      </c>
      <c r="AR7" s="16">
        <v>3</v>
      </c>
      <c r="AS7" s="16">
        <v>3</v>
      </c>
      <c r="AT7" s="16">
        <v>3</v>
      </c>
      <c r="AU7" s="16">
        <v>3</v>
      </c>
      <c r="AV7" s="8"/>
      <c r="AW7" s="9" t="s">
        <v>28</v>
      </c>
      <c r="AX7" s="17" t="s">
        <v>27</v>
      </c>
      <c r="AY7" s="17"/>
      <c r="AZ7" s="7">
        <v>4</v>
      </c>
      <c r="BA7" s="18" cm="1">
        <f t="array" ref="BA7">SUMPRODUCT((E7:AZ7=1)+(E7:AZ7=2))</f>
        <v>9</v>
      </c>
      <c r="BB7" s="18">
        <f t="shared" si="0"/>
        <v>6</v>
      </c>
      <c r="BC7" s="18" cm="1">
        <f t="array" ref="BC7">SUMPRODUCT((E7:AZ7=4)+(E7:AZ7=5))</f>
        <v>9</v>
      </c>
      <c r="BD7" s="18">
        <f t="shared" si="1"/>
        <v>0</v>
      </c>
      <c r="BE7" s="18">
        <f t="shared" si="2"/>
        <v>0</v>
      </c>
      <c r="BF7" s="18">
        <f t="shared" si="3"/>
        <v>0</v>
      </c>
      <c r="BG7" s="18">
        <f t="shared" si="4"/>
        <v>0</v>
      </c>
      <c r="BH7" s="23" cm="1">
        <f t="array" ref="BH7">SUMPRODUCT(($E$2:$AZ$2="Do.")*((E7:AZ7=6)+(E7:AZ7=7)+(E7:AZ7=8)+(E7:AZ7=10)+(E7:AZ7=12))+(($E$2:$AZ$2&lt;&gt;"Do.")*((E7:AZ7=6)+(E7:AZ7=7)+(E7:AZ7=8)+(E7:AZ7=10)+(E7:AZ7=12))))*7+SUMPRODUCT(($E$2:$AZ$2="Do.")*((E7:AZ7=9))+(($E$2:$AZ$2&lt;&gt;"Do.")*((E7:AZ7=9))))*13</f>
        <v>21</v>
      </c>
      <c r="BI7" s="18" cm="1">
        <f t="array" ref="BI7">SUMPRODUCT(($E$2:$AZ$2="Do.")*((E7:AZ7=6)+(E7:AZ7=7)+(E7:AZ7=8)+(E7:AZ7=9)+(E7:AZ7=10)+(E7:AZ7=12)))</f>
        <v>2</v>
      </c>
      <c r="BJ7" s="18" cm="1">
        <f t="array" ref="BJ7">SUMPRODUCT(([1]Julio!$AL$2:$AW$2="Do.")*(([1]Julio!AL7:AW7=6)+([1]Julio!AL7:AW7=7)+([1]Julio!AL7:AW7=8)+([1]Julio!AL7:AW7=10)+([1]Julio!AL7:AW7=12))+(([1]Julio!$AL$2:$AW$2&lt;&gt;"Do.")*(([1]Julio!AL7:AW7=6)+([1]Julio!AL7:AW7=7)+([1]Julio!AL7:AW7=8)+([1]Julio!AL7:AW7=10)+([1]Julio!AL7:AW7=12))))*7
+SUMPRODUCT(([1]Julio!$AL$2:$AW$2="Do.")*(([1]Julio!AL7:AW7=9))+(([1]Julio!$AL$2:$AW$2&lt;&gt;"Do.")*(([1]Julio!AL7:AW7=9))))*13
+SUMPRODUCT(($E$2:$L$2="Do.")*((E7:L7=6)+(E7:L7=7)+(E7:L7=8)+(E7:L7=10)+(E7:L7=12))+(($E$2:$L$2&lt;&gt;"Do.")*((E7:L7=6)+(E7:L7=7)+(E7:L7=8)+(E7:L7=10)+(E7:L7=12))))*7
+SUMPRODUCT(($E$2:$L$2="Do.")*((E7:L7=9))+(($E$2:$L$2&lt;&gt;"Do.")*((E7:L7=9))))*13</f>
        <v>14</v>
      </c>
      <c r="BK7" s="20" cm="1">
        <f t="array" ref="BK7">SUMPRODUCT(($E$2:L$2&lt;&gt;"Do.")*(E7:L7=5))*3
+SUMPRODUCT(($E$2:$L$2&lt;&gt;"Do.")*(E7:L7=4)*ISNUMBER(MATCH($E$2:$L$2,{"Ma.";"Lu.";"Mi.";"Ju.";"Vi.";"Sá."},0)))*1.5
+SUMPRODUCT(([1]Julio!$AL$2:$AW$2&lt;&gt;"Do.")*([1]Julio!AL7:AW7=5))*3
+SUMPRODUCT(([1]Julio!$AL$2:$AW$2&lt;&gt;"Do.")*([1]Julio!AL7:AW7=4)*ISNUMBER(MATCH([1]Julio!$AL$2:$AW$2,{"Ma.";"Lu.";"Mi.";"Ju.";"Vi.";"Sá."},0)))*1.5</f>
        <v>9</v>
      </c>
      <c r="BL7" s="11" t="str">
        <f>IFERROR(IF((VLOOKUP(B7,[2]DOMINICALES!D$7:H$27,5,FALSE))
+(VLOOKUP(B7,'[2]HORAS EXTRAS NOCTURNAS FESTIVAS'!D$7:H$27,5,FALSE))=BJ7,"OK","MAL"),"NO")</f>
        <v>OK</v>
      </c>
      <c r="BM7" s="11" t="str">
        <f>IFERROR(IF(VLOOKUP(B7,'[2]RECARGO NOCTURNO'!C$6:Q$26,15,FALSE)=BK7,"OK","MAL"),"NO")</f>
        <v>OK</v>
      </c>
      <c r="BN7" s="18" cm="1">
        <f t="array" ref="BN7">SUMPRODUCT(($M$2:$AI$2="Do.")*((M7:AI7=6)+(M7:AI7=7)+(M7:AI7=8)+(M7:AI7=10)+(M7:AI7=12))+(($M$2:$AI$2&lt;&gt;"Do.")*((M7:AI7=6)+(M7:AI7=7)+(M7:AI7=8)+(M7:AI7=10)+(M7:AI7=12))))*7
+SUMPRODUCT(($M$2:$AI$2="Do.")*((M7:AI7=9))+(($M$2:$AI$2&lt;&gt;"Do.")*((M7:AI7=9))))*13</f>
        <v>14</v>
      </c>
      <c r="BO7" s="20" cm="1">
        <f t="array" ref="BO7">SUMPRODUCT(($M$2:$AI$2&lt;&gt;"Do.")*(M7:AI7=5))*3
+SUMPRODUCT(($M$2:$AI$2&lt;&gt;"Do.")*(M7:AI7=4)*1.5
)</f>
        <v>18</v>
      </c>
      <c r="BP7" s="11" t="str">
        <f>IFERROR(IF((VLOOKUP(B7,[3]DOMINICALES!D$7:J$30,7,FALSE))
+(VLOOKUP(B7,'[3]HORAS EXTRAS NOCTURNAS FESTIVAS'!D$7:J$30,7,FALSE))=BN7,"OK","MAL"),"NO")</f>
        <v>OK</v>
      </c>
      <c r="BQ7" s="11" t="str">
        <f>IFERROR(IF(VLOOKUP(B7,'[3]RECARGO NOCTURNO'!C$6:P$29,14,FALSE)=BO7,"OK","MAL"),"NO")</f>
        <v>OK</v>
      </c>
    </row>
    <row r="8" spans="1:69" ht="18" customHeight="1">
      <c r="A8" s="4">
        <v>6</v>
      </c>
      <c r="B8" s="5" t="s">
        <v>48</v>
      </c>
      <c r="C8" s="6" t="s">
        <v>49</v>
      </c>
      <c r="D8" s="6"/>
      <c r="E8" s="11">
        <v>4</v>
      </c>
      <c r="F8" s="8">
        <v>0.60416666666666663</v>
      </c>
      <c r="G8" s="9">
        <v>10</v>
      </c>
      <c r="H8" s="6" t="s">
        <v>38</v>
      </c>
      <c r="I8" s="6"/>
      <c r="J8" s="7" t="s">
        <v>50</v>
      </c>
      <c r="K8" s="7" t="s">
        <v>50</v>
      </c>
      <c r="L8" s="7" t="s">
        <v>51</v>
      </c>
      <c r="M8" s="7" t="s">
        <v>51</v>
      </c>
      <c r="N8" s="12"/>
      <c r="O8" s="13" t="s">
        <v>51</v>
      </c>
      <c r="P8" s="7">
        <v>2</v>
      </c>
      <c r="Q8" s="8"/>
      <c r="R8" s="9" t="s">
        <v>28</v>
      </c>
      <c r="S8" s="26" t="s">
        <v>39</v>
      </c>
      <c r="T8" s="26"/>
      <c r="U8" s="16" t="s">
        <v>51</v>
      </c>
      <c r="V8" s="16">
        <v>5</v>
      </c>
      <c r="W8" s="16">
        <v>5</v>
      </c>
      <c r="X8" s="16">
        <v>5</v>
      </c>
      <c r="Y8" s="16">
        <v>5</v>
      </c>
      <c r="Z8" s="16">
        <v>5</v>
      </c>
      <c r="AA8" s="8"/>
      <c r="AB8" s="9" t="s">
        <v>28</v>
      </c>
      <c r="AC8" s="12">
        <v>0.375</v>
      </c>
      <c r="AD8" s="16">
        <v>7</v>
      </c>
      <c r="AE8" s="6" t="s">
        <v>34</v>
      </c>
      <c r="AF8" s="6"/>
      <c r="AG8" s="7">
        <v>1</v>
      </c>
      <c r="AH8" s="7">
        <v>1</v>
      </c>
      <c r="AI8" s="7">
        <v>1</v>
      </c>
      <c r="AJ8" s="27">
        <v>1</v>
      </c>
      <c r="AK8" s="27">
        <v>1</v>
      </c>
      <c r="AL8" s="8"/>
      <c r="AM8" s="9" t="s">
        <v>28</v>
      </c>
      <c r="AN8" s="6" t="s">
        <v>43</v>
      </c>
      <c r="AO8" s="6">
        <v>0.5</v>
      </c>
      <c r="AP8" s="11">
        <v>3</v>
      </c>
      <c r="AQ8" s="11">
        <v>3</v>
      </c>
      <c r="AR8" s="11">
        <v>3</v>
      </c>
      <c r="AS8" s="11">
        <v>3</v>
      </c>
      <c r="AT8" s="11">
        <v>3</v>
      </c>
      <c r="AU8" s="11">
        <v>3</v>
      </c>
      <c r="AV8" s="8">
        <v>0.66666666666666663</v>
      </c>
      <c r="AW8" s="9">
        <v>8</v>
      </c>
      <c r="AX8" s="26" t="s">
        <v>39</v>
      </c>
      <c r="AY8" s="26"/>
      <c r="AZ8" s="16">
        <v>5</v>
      </c>
      <c r="BA8" s="18" cm="1">
        <f t="array" ref="BA8">SUMPRODUCT((E8:AZ8=1)+(E8:AZ8=2))</f>
        <v>6</v>
      </c>
      <c r="BB8" s="18">
        <f t="shared" si="0"/>
        <v>6</v>
      </c>
      <c r="BC8" s="18" cm="1">
        <f t="array" ref="BC8">SUMPRODUCT((E8:AZ8=4)+(E8:AZ8=5))</f>
        <v>7</v>
      </c>
      <c r="BD8" s="18">
        <f t="shared" si="1"/>
        <v>0</v>
      </c>
      <c r="BE8" s="18">
        <f t="shared" si="2"/>
        <v>0</v>
      </c>
      <c r="BF8" s="18">
        <f t="shared" si="3"/>
        <v>2</v>
      </c>
      <c r="BG8" s="18">
        <f t="shared" si="4"/>
        <v>4</v>
      </c>
      <c r="BH8" s="23" cm="1">
        <f t="array" ref="BH8">SUMPRODUCT(($E$2:$AZ$2="Do.")*((E8:AZ8=6)+(E8:AZ8=7)+(E8:AZ8=8)+(E8:AZ8=10)+(E8:AZ8=12))+(($E$2:$AZ$2&lt;&gt;"Do.")*((E8:AZ8=6)+(E8:AZ8=7)+(E8:AZ8=8)+(E8:AZ8=10)+(E8:AZ8=12))))*7+SUMPRODUCT(($E$2:$AZ$2="Do.")*((E8:AZ8=9))+(($E$2:$AZ$2&lt;&gt;"Do.")*((E8:AZ8=9))))*13</f>
        <v>21</v>
      </c>
      <c r="BI8" s="18" cm="1">
        <f t="array" ref="BI8">SUMPRODUCT(($E$2:$AZ$2="Do.")*((E8:AZ8=6)+(E8:AZ8=7)+(E8:AZ8=8)+(E8:AZ8=9)+(E8:AZ8=10)+(E8:AZ8=12)))</f>
        <v>2</v>
      </c>
      <c r="BJ8" s="18" cm="1">
        <f t="array" ref="BJ8">SUMPRODUCT(([1]Julio!$AL$2:$AW$2="Do.")*(([1]Julio!AL8:AW8=6)+([1]Julio!AL8:AW8=7)+([1]Julio!AL8:AW8=8)+([1]Julio!AL8:AW8=10)+([1]Julio!AL8:AW8=12))+(([1]Julio!$AL$2:$AW$2&lt;&gt;"Do.")*(([1]Julio!AL8:AW8=6)+([1]Julio!AL8:AW8=7)+([1]Julio!AL8:AW8=8)+([1]Julio!AL8:AW8=10)+([1]Julio!AL8:AW8=12))))*7
+SUMPRODUCT(([1]Julio!$AL$2:$AW$2="Do.")*(([1]Julio!AL8:AW8=9))+(([1]Julio!$AL$2:$AW$2&lt;&gt;"Do.")*(([1]Julio!AL8:AW8=9))))*13
+SUMPRODUCT(($E$2:$L$2="Do.")*((E8:L8=6)+(E8:L8=7)+(E8:L8=8)+(E8:L8=10)+(E8:L8=12))+(($E$2:$L$2&lt;&gt;"Do.")*((E8:L8=6)+(E8:L8=7)+(E8:L8=8)+(E8:L8=10)+(E8:L8=12))))*7
+SUMPRODUCT(($E$2:$L$2="Do.")*((E8:L8=9))+(($E$2:$L$2&lt;&gt;"Do.")*((E8:L8=9))))*13</f>
        <v>7</v>
      </c>
      <c r="BK8" s="20" cm="1">
        <f t="array" ref="BK8">SUMPRODUCT(($E$2:L$2&lt;&gt;"Do.")*(E8:L8=5))*3
+SUMPRODUCT(($E$2:$L$2&lt;&gt;"Do.")*(E8:L8=4)*ISNUMBER(MATCH($E$2:$L$2,{"Ma.";"Lu.";"Mi.";"Ju.";"Vi.";"Sá."},0)))*1.5
+SUMPRODUCT(([1]Julio!$AL$2:$AW$2&lt;&gt;"Do.")*([1]Julio!AL8:AW8=5))*3
+SUMPRODUCT(([1]Julio!$AL$2:$AW$2&lt;&gt;"Do.")*([1]Julio!AL8:AW8=4)*ISNUMBER(MATCH([1]Julio!$AL$2:$AW$2,{"Ma.";"Lu.";"Mi.";"Ju.";"Vi.";"Sá."},0)))*1.5</f>
        <v>9</v>
      </c>
      <c r="BL8" s="11" t="str">
        <f>IFERROR(IF((VLOOKUP(B8,[2]DOMINICALES!D$7:H$27,5,FALSE))
+(VLOOKUP(B8,'[2]HORAS EXTRAS NOCTURNAS FESTIVAS'!D$7:H$27,5,FALSE))=BJ8,"OK","MAL"),"NO")</f>
        <v>OK</v>
      </c>
      <c r="BM8" s="11" t="str">
        <f>IFERROR(IF(VLOOKUP(B8,'[2]RECARGO NOCTURNO'!C$6:Q$26,15,FALSE)=BK8,"OK","MAL"),"NO")</f>
        <v>OK</v>
      </c>
      <c r="BN8" s="18" cm="1">
        <f t="array" ref="BN8">SUMPRODUCT(($M$2:$AI$2="Do.")*((M8:AI8=6)+(M8:AI8=7)+(M8:AI8=8)+(M8:AI8=10)+(M8:AI8=12))+(($M$2:$AI$2&lt;&gt;"Do.")*((M8:AI8=6)+(M8:AI8=7)+(M8:AI8=8)+(M8:AI8=10)+(M8:AI8=12))))*7
+SUMPRODUCT(($M$2:$AI$2="Do.")*((M8:AI8=9))+(($M$2:$AI$2&lt;&gt;"Do.")*((M8:AI8=9))))*13</f>
        <v>7</v>
      </c>
      <c r="BO8" s="20" cm="1">
        <f t="array" ref="BO8">SUMPRODUCT(($M$2:$AI$2&lt;&gt;"Do.")*(M8:AI8=5))*3
+SUMPRODUCT(($M$2:$AI$2&lt;&gt;"Do.")*(M8:AI8=4)*1.5
)</f>
        <v>15</v>
      </c>
      <c r="BP8" s="11" t="str">
        <f>IFERROR(IF((VLOOKUP(B8,[3]DOMINICALES!D$7:J$30,7,FALSE))
+(VLOOKUP(B8,'[3]HORAS EXTRAS NOCTURNAS FESTIVAS'!D$7:J$30,7,FALSE))=BN8,"OK","MAL"),"NO")</f>
        <v>OK</v>
      </c>
      <c r="BQ8" s="11" t="str">
        <f>IFERROR(IF(VLOOKUP(B8,'[3]RECARGO NOCTURNO'!C$6:P$29,14,FALSE)=BO8,"OK","MAL"),"NO")</f>
        <v>OK</v>
      </c>
    </row>
    <row r="9" spans="1:69" ht="18" customHeight="1">
      <c r="A9" s="4">
        <v>7</v>
      </c>
      <c r="B9" s="5" t="s">
        <v>52</v>
      </c>
      <c r="C9" s="6" t="s">
        <v>53</v>
      </c>
      <c r="D9" s="6"/>
      <c r="E9" s="11">
        <v>2</v>
      </c>
      <c r="F9" s="8">
        <v>0.64583333333333337</v>
      </c>
      <c r="G9" s="16">
        <v>8</v>
      </c>
      <c r="H9" s="26" t="s">
        <v>35</v>
      </c>
      <c r="I9" s="26">
        <v>0.5</v>
      </c>
      <c r="J9" s="16">
        <v>3</v>
      </c>
      <c r="K9" s="16">
        <v>3</v>
      </c>
      <c r="L9" s="16">
        <v>3</v>
      </c>
      <c r="M9" s="16" t="s">
        <v>50</v>
      </c>
      <c r="N9" s="12"/>
      <c r="O9" s="13" t="s">
        <v>50</v>
      </c>
      <c r="P9" s="16" t="s">
        <v>50</v>
      </c>
      <c r="Q9" s="8">
        <v>0.60416666666666663</v>
      </c>
      <c r="R9" s="9">
        <v>10</v>
      </c>
      <c r="S9" s="6" t="s">
        <v>40</v>
      </c>
      <c r="T9" s="6"/>
      <c r="U9" s="27">
        <v>4</v>
      </c>
      <c r="V9" s="27">
        <v>4</v>
      </c>
      <c r="W9" s="27">
        <v>4</v>
      </c>
      <c r="X9" s="27">
        <v>4</v>
      </c>
      <c r="Y9" s="27">
        <v>4</v>
      </c>
      <c r="Z9" s="27">
        <v>4</v>
      </c>
      <c r="AA9" s="8"/>
      <c r="AB9" s="9" t="s">
        <v>28</v>
      </c>
      <c r="AC9" s="12">
        <v>0.66666666666666663</v>
      </c>
      <c r="AD9" s="16">
        <v>8</v>
      </c>
      <c r="AE9" s="6" t="s">
        <v>46</v>
      </c>
      <c r="AF9" s="6"/>
      <c r="AG9" s="15">
        <v>5</v>
      </c>
      <c r="AH9" s="15">
        <v>5</v>
      </c>
      <c r="AI9" s="15">
        <v>5</v>
      </c>
      <c r="AJ9" s="7">
        <v>1</v>
      </c>
      <c r="AK9" s="7">
        <v>1</v>
      </c>
      <c r="AL9" s="8"/>
      <c r="AM9" s="9" t="s">
        <v>28</v>
      </c>
      <c r="AN9" s="6" t="s">
        <v>44</v>
      </c>
      <c r="AO9" s="6"/>
      <c r="AP9" s="7">
        <v>1</v>
      </c>
      <c r="AQ9" s="7">
        <v>1</v>
      </c>
      <c r="AR9" s="7">
        <v>1</v>
      </c>
      <c r="AS9" s="11">
        <v>5</v>
      </c>
      <c r="AT9" s="11">
        <v>5</v>
      </c>
      <c r="AU9" s="11">
        <v>5</v>
      </c>
      <c r="AV9" s="8"/>
      <c r="AW9" s="9" t="s">
        <v>28</v>
      </c>
      <c r="AX9" s="17" t="s">
        <v>54</v>
      </c>
      <c r="AY9" s="17">
        <v>0.5625</v>
      </c>
      <c r="AZ9" s="11">
        <v>3</v>
      </c>
      <c r="BA9" s="18" cm="1">
        <f t="array" ref="BA9">SUMPRODUCT((E9:AZ9=1)+(E9:AZ9=2))</f>
        <v>6</v>
      </c>
      <c r="BB9" s="18">
        <f t="shared" si="0"/>
        <v>4</v>
      </c>
      <c r="BC9" s="18" cm="1">
        <f t="array" ref="BC9">SUMPRODUCT((E9:AZ9=4)+(E9:AZ9=5))</f>
        <v>12</v>
      </c>
      <c r="BD9" s="18">
        <f t="shared" si="1"/>
        <v>0</v>
      </c>
      <c r="BE9" s="18">
        <f t="shared" si="2"/>
        <v>0</v>
      </c>
      <c r="BF9" s="18">
        <f t="shared" si="3"/>
        <v>3</v>
      </c>
      <c r="BG9" s="18">
        <f t="shared" si="4"/>
        <v>0</v>
      </c>
      <c r="BH9" s="23" cm="1">
        <f t="array" ref="BH9">SUMPRODUCT(($E$2:$AZ$2="Do.")*((E9:AZ9=6)+(E9:AZ9=7)+(E9:AZ9=8)+(E9:AZ9=10)+(E9:AZ9=12))+(($E$2:$AZ$2&lt;&gt;"Do.")*((E9:AZ9=6)+(E9:AZ9=7)+(E9:AZ9=8)+(E9:AZ9=10)+(E9:AZ9=12))))*7+SUMPRODUCT(($E$2:$AZ$2="Do.")*((E9:AZ9=9))+(($E$2:$AZ$2&lt;&gt;"Do.")*((E9:AZ9=9))))*13</f>
        <v>21</v>
      </c>
      <c r="BI9" s="18" cm="1">
        <f t="array" ref="BI9">SUMPRODUCT(($E$2:$AZ$2="Do.")*((E9:AZ9=6)+(E9:AZ9=7)+(E9:AZ9=8)+(E9:AZ9=9)+(E9:AZ9=10)+(E9:AZ9=12)))</f>
        <v>2</v>
      </c>
      <c r="BJ9" s="18" cm="1">
        <f t="array" ref="BJ9">SUMPRODUCT(([1]Julio!$AL$2:$AW$2="Do.")*(([1]Julio!AL9:AW9=6)+([1]Julio!AL9:AW9=7)+([1]Julio!AL9:AW9=8)+([1]Julio!AL9:AW9=10)+([1]Julio!AL9:AW9=12))+(([1]Julio!$AL$2:$AW$2&lt;&gt;"Do.")*(([1]Julio!AL9:AW9=6)+([1]Julio!AL9:AW9=7)+([1]Julio!AL9:AW9=8)+([1]Julio!AL9:AW9=10)+([1]Julio!AL9:AW9=12))))*7
+SUMPRODUCT(([1]Julio!$AL$2:$AW$2="Do.")*(([1]Julio!AL9:AW9=9))+(([1]Julio!$AL$2:$AW$2&lt;&gt;"Do.")*(([1]Julio!AL9:AW9=9))))*13
+SUMPRODUCT(($E$2:$L$2="Do.")*((E9:L9=6)+(E9:L9=7)+(E9:L9=8)+(E9:L9=10)+(E9:L9=12))+(($E$2:$L$2&lt;&gt;"Do.")*((E9:L9=6)+(E9:L9=7)+(E9:L9=8)+(E9:L9=10)+(E9:L9=12))))*7
+SUMPRODUCT(($E$2:$L$2="Do.")*((E9:L9=9))+(($E$2:$L$2&lt;&gt;"Do.")*((E9:L9=9))))*13</f>
        <v>14</v>
      </c>
      <c r="BK9" s="20" cm="1">
        <f t="array" ref="BK9">SUMPRODUCT(($E$2:L$2&lt;&gt;"Do.")*(E9:L9=5))*3
+SUMPRODUCT(($E$2:$L$2&lt;&gt;"Do.")*(E9:L9=4)*ISNUMBER(MATCH($E$2:$L$2,{"Ma.";"Lu.";"Mi.";"Ju.";"Vi.";"Sá."},0)))*1.5
+SUMPRODUCT(([1]Julio!$AL$2:$AW$2&lt;&gt;"Do.")*([1]Julio!AL9:AW9=5))*3
+SUMPRODUCT(([1]Julio!$AL$2:$AW$2&lt;&gt;"Do.")*([1]Julio!AL9:AW9=4)*ISNUMBER(MATCH([1]Julio!$AL$2:$AW$2,{"Ma.";"Lu.";"Mi.";"Ju.";"Vi.";"Sá."},0)))*1.5</f>
        <v>9</v>
      </c>
      <c r="BL9" s="11" t="str">
        <f>IFERROR(IF((VLOOKUP(B9,[2]DOMINICALES!D$7:H$27,5,FALSE))
+(VLOOKUP(B9,'[2]HORAS EXTRAS NOCTURNAS FESTIVAS'!D$7:H$27,5,FALSE))=BJ9,"OK","MAL"),"NO")</f>
        <v>OK</v>
      </c>
      <c r="BM9" s="11" t="str">
        <f>IFERROR(IF(VLOOKUP(B9,'[2]RECARGO NOCTURNO'!C$6:Q$26,15,FALSE)=BK9,"OK","MAL"),"NO")</f>
        <v>OK</v>
      </c>
      <c r="BN9" s="18" cm="1">
        <f t="array" ref="BN9">SUMPRODUCT(($M$2:$AI$2="Do.")*((M9:AI9=6)+(M9:AI9=7)+(M9:AI9=8)+(M9:AI9=10)+(M9:AI9=12))+(($M$2:$AI$2&lt;&gt;"Do.")*((M9:AI9=6)+(M9:AI9=7)+(M9:AI9=8)+(M9:AI9=10)+(M9:AI9=12))))*7
+SUMPRODUCT(($M$2:$AI$2="Do.")*((M9:AI9=9))+(($M$2:$AI$2&lt;&gt;"Do.")*((M9:AI9=9))))*13</f>
        <v>14</v>
      </c>
      <c r="BO9" s="20" cm="1">
        <f t="array" ref="BO9">SUMPRODUCT(($M$2:$AI$2&lt;&gt;"Do.")*(M9:AI9=5))*3
+SUMPRODUCT(($M$2:$AI$2&lt;&gt;"Do.")*(M9:AI9=4)*1.5
)</f>
        <v>18</v>
      </c>
      <c r="BP9" s="11" t="str">
        <f>IFERROR(IF((VLOOKUP(B9,[3]DOMINICALES!D$7:J$30,7,FALSE))
+(VLOOKUP(B9,'[3]HORAS EXTRAS NOCTURNAS FESTIVAS'!D$7:J$30,7,FALSE))=BN9,"OK","MAL"),"NO")</f>
        <v>OK</v>
      </c>
      <c r="BQ9" s="11" t="str">
        <f>IFERROR(IF(VLOOKUP(B9,'[3]RECARGO NOCTURNO'!C$6:P$29,14,FALSE)=BO9,"OK","MAL"),"NO")</f>
        <v>OK</v>
      </c>
    </row>
    <row r="10" spans="1:69" ht="18" customHeight="1">
      <c r="A10" s="4">
        <v>8</v>
      </c>
      <c r="B10" s="5" t="s">
        <v>55</v>
      </c>
      <c r="C10" s="6" t="s">
        <v>56</v>
      </c>
      <c r="D10" s="6"/>
      <c r="E10" s="7">
        <v>4</v>
      </c>
      <c r="F10" s="8">
        <v>0.66666666666666663</v>
      </c>
      <c r="G10" s="9">
        <v>8</v>
      </c>
      <c r="H10" s="26" t="s">
        <v>57</v>
      </c>
      <c r="I10" s="26"/>
      <c r="J10" s="16">
        <v>1</v>
      </c>
      <c r="K10" s="16">
        <v>1</v>
      </c>
      <c r="L10" s="16">
        <v>1</v>
      </c>
      <c r="M10" s="16">
        <v>1</v>
      </c>
      <c r="N10" s="12">
        <v>0.375</v>
      </c>
      <c r="O10" s="16">
        <v>7</v>
      </c>
      <c r="P10" s="16">
        <v>1</v>
      </c>
      <c r="Q10" s="8"/>
      <c r="R10" s="9" t="s">
        <v>28</v>
      </c>
      <c r="S10" s="6" t="s">
        <v>49</v>
      </c>
      <c r="T10" s="6"/>
      <c r="U10" s="16">
        <v>5</v>
      </c>
      <c r="V10" s="7">
        <v>4</v>
      </c>
      <c r="W10" s="7">
        <v>4</v>
      </c>
      <c r="X10" s="7">
        <v>4</v>
      </c>
      <c r="Y10" s="7">
        <v>4</v>
      </c>
      <c r="Z10" s="7">
        <v>4</v>
      </c>
      <c r="AA10" s="8">
        <v>0.64583333333333337</v>
      </c>
      <c r="AB10" s="9">
        <v>8</v>
      </c>
      <c r="AC10" s="12"/>
      <c r="AD10" s="13" t="s">
        <v>28</v>
      </c>
      <c r="AE10" s="6" t="s">
        <v>41</v>
      </c>
      <c r="AF10" s="6">
        <v>0.5625</v>
      </c>
      <c r="AG10" s="27">
        <v>3</v>
      </c>
      <c r="AH10" s="27">
        <v>3</v>
      </c>
      <c r="AI10" s="27">
        <v>3</v>
      </c>
      <c r="AJ10" s="11">
        <v>3</v>
      </c>
      <c r="AK10" s="11">
        <v>3</v>
      </c>
      <c r="AL10" s="8"/>
      <c r="AM10" s="9" t="s">
        <v>28</v>
      </c>
      <c r="AN10" s="26" t="s">
        <v>39</v>
      </c>
      <c r="AO10" s="26"/>
      <c r="AP10" s="16">
        <v>5</v>
      </c>
      <c r="AQ10" s="16">
        <v>5</v>
      </c>
      <c r="AR10" s="16">
        <v>1</v>
      </c>
      <c r="AS10" s="16">
        <v>5</v>
      </c>
      <c r="AT10" s="16">
        <v>5</v>
      </c>
      <c r="AU10" s="16">
        <v>5</v>
      </c>
      <c r="AV10" s="8"/>
      <c r="AW10" s="9" t="s">
        <v>28</v>
      </c>
      <c r="AX10" s="26" t="s">
        <v>57</v>
      </c>
      <c r="AY10" s="26"/>
      <c r="AZ10" s="16">
        <v>1</v>
      </c>
      <c r="BA10" s="18" cm="1">
        <f t="array" ref="BA10">SUMPRODUCT((E10:AZ10=1)+(E10:AZ10=2))</f>
        <v>7</v>
      </c>
      <c r="BB10" s="18">
        <f t="shared" si="0"/>
        <v>5</v>
      </c>
      <c r="BC10" s="18" cm="1">
        <f t="array" ref="BC10">SUMPRODUCT((E10:AZ10=4)+(E10:AZ10=5))</f>
        <v>12</v>
      </c>
      <c r="BD10" s="18">
        <f t="shared" si="1"/>
        <v>0</v>
      </c>
      <c r="BE10" s="18">
        <f t="shared" si="2"/>
        <v>0</v>
      </c>
      <c r="BF10" s="18">
        <f t="shared" si="3"/>
        <v>0</v>
      </c>
      <c r="BG10" s="18">
        <f t="shared" si="4"/>
        <v>0</v>
      </c>
      <c r="BH10" s="23" cm="1">
        <f t="array" ref="BH10">SUMPRODUCT(($E$2:$AZ$2="Do.")*((E10:AZ10=6)+(E10:AZ10=7)+(E10:AZ10=8)+(E10:AZ10=10)+(E10:AZ10=12))+(($E$2:$AZ$2&lt;&gt;"Do.")*((E10:AZ10=6)+(E10:AZ10=7)+(E10:AZ10=8)+(E10:AZ10=10)+(E10:AZ10=12))))*7+SUMPRODUCT(($E$2:$AZ$2="Do.")*((E10:AZ10=9))+(($E$2:$AZ$2&lt;&gt;"Do.")*((E10:AZ10=9))))*13</f>
        <v>21</v>
      </c>
      <c r="BI10" s="18" cm="1">
        <f t="array" ref="BI10">SUMPRODUCT(($E$2:$AZ$2="Do.")*((E10:AZ10=6)+(E10:AZ10=7)+(E10:AZ10=8)+(E10:AZ10=9)+(E10:AZ10=10)+(E10:AZ10=12)))</f>
        <v>2</v>
      </c>
      <c r="BJ10" s="18" cm="1">
        <f t="array" ref="BJ10">SUMPRODUCT(([1]Julio!$AL$2:$AW$2="Do.")*(([1]Julio!AL10:AW10=6)+([1]Julio!AL10:AW10=7)+([1]Julio!AL10:AW10=8)+([1]Julio!AL10:AW10=10)+([1]Julio!AL10:AW10=12))+(([1]Julio!$AL$2:$AW$2&lt;&gt;"Do.")*(([1]Julio!AL10:AW10=6)+([1]Julio!AL10:AW10=7)+([1]Julio!AL10:AW10=8)+([1]Julio!AL10:AW10=10)+([1]Julio!AL10:AW10=12))))*7
+SUMPRODUCT(([1]Julio!$AL$2:$AW$2="Do.")*(([1]Julio!AL10:AW10=9))+(([1]Julio!$AL$2:$AW$2&lt;&gt;"Do.")*(([1]Julio!AL10:AW10=9))))*13
+SUMPRODUCT(($E$2:$L$2="Do.")*((E10:L10=6)+(E10:L10=7)+(E10:L10=8)+(E10:L10=10)+(E10:L10=12))+(($E$2:$L$2&lt;&gt;"Do.")*((E10:L10=6)+(E10:L10=7)+(E10:L10=8)+(E10:L10=10)+(E10:L10=12))))*7
+SUMPRODUCT(($E$2:$L$2="Do.")*((E10:L10=9))+(($E$2:$L$2&lt;&gt;"Do.")*((E10:L10=9))))*13</f>
        <v>14</v>
      </c>
      <c r="BK10" s="20" cm="1">
        <f t="array" ref="BK10">SUMPRODUCT(($E$2:L$2&lt;&gt;"Do.")*(E10:L10=5))*3
+SUMPRODUCT(($E$2:$L$2&lt;&gt;"Do.")*(E10:L10=4)*ISNUMBER(MATCH($E$2:$L$2,{"Ma.";"Lu.";"Mi.";"Ju.";"Vi.";"Sá."},0)))*1.5
+SUMPRODUCT(([1]Julio!$AL$2:$AW$2&lt;&gt;"Do.")*([1]Julio!AL10:AW10=5))*3
+SUMPRODUCT(([1]Julio!$AL$2:$AW$2&lt;&gt;"Do.")*([1]Julio!AL10:AW10=4)*ISNUMBER(MATCH([1]Julio!$AL$2:$AW$2,{"Ma.";"Lu.";"Mi.";"Ju.";"Vi.";"Sá."},0)))*1.5</f>
        <v>9</v>
      </c>
      <c r="BL10" s="11" t="str">
        <f>IFERROR(IF((VLOOKUP(B10,[2]DOMINICALES!D$7:H$27,5,FALSE))
+(VLOOKUP(B10,'[2]HORAS EXTRAS NOCTURNAS FESTIVAS'!D$7:H$27,5,FALSE))=BJ10,"OK","MAL"),"NO")</f>
        <v>OK</v>
      </c>
      <c r="BM10" s="11" t="str">
        <f>IFERROR(IF(VLOOKUP(B10,'[2]RECARGO NOCTURNO'!C$6:Q$26,15,FALSE)=BK10,"OK","MAL"),"NO")</f>
        <v>OK</v>
      </c>
      <c r="BN10" s="18" cm="1">
        <f t="array" ref="BN10">SUMPRODUCT(($M$2:$AI$2="Do.")*((M10:AI10=6)+(M10:AI10=7)+(M10:AI10=8)+(M10:AI10=10)+(M10:AI10=12))+(($M$2:$AI$2&lt;&gt;"Do.")*((M10:AI10=6)+(M10:AI10=7)+(M10:AI10=8)+(M10:AI10=10)+(M10:AI10=12))))*7
+SUMPRODUCT(($M$2:$AI$2="Do.")*((M10:AI10=9))+(($M$2:$AI$2&lt;&gt;"Do.")*((M10:AI10=9))))*13</f>
        <v>14</v>
      </c>
      <c r="BO10" s="20" cm="1">
        <f t="array" ref="BO10">SUMPRODUCT(($M$2:$AI$2&lt;&gt;"Do.")*(M10:AI10=5))*3
+SUMPRODUCT(($M$2:$AI$2&lt;&gt;"Do.")*(M10:AI10=4)*1.5
)</f>
        <v>10.5</v>
      </c>
      <c r="BP10" s="11" t="str">
        <f>IFERROR(IF((VLOOKUP(B10,[3]DOMINICALES!D$7:J$30,7,FALSE))
+(VLOOKUP(B10,'[3]HORAS EXTRAS NOCTURNAS FESTIVAS'!D$7:J$30,7,FALSE))=BN10,"OK","MAL"),"NO")</f>
        <v>OK</v>
      </c>
      <c r="BQ10" s="11" t="str">
        <f>IFERROR(IF(VLOOKUP(B10,'[3]RECARGO NOCTURNO'!C$6:P$29,14,FALSE)=BO10,"OK","MAL"),"NO")</f>
        <v>OK</v>
      </c>
    </row>
    <row r="11" spans="1:69" ht="18" customHeight="1">
      <c r="A11" s="4">
        <v>9</v>
      </c>
      <c r="B11" s="5" t="s">
        <v>58</v>
      </c>
      <c r="C11" s="26" t="s">
        <v>59</v>
      </c>
      <c r="D11" s="26"/>
      <c r="E11" s="16">
        <v>1</v>
      </c>
      <c r="F11" s="8">
        <v>0.6875</v>
      </c>
      <c r="G11" s="9" t="s">
        <v>50</v>
      </c>
      <c r="H11" s="26" t="s">
        <v>39</v>
      </c>
      <c r="I11" s="26"/>
      <c r="J11" s="16" t="s">
        <v>50</v>
      </c>
      <c r="K11" s="16">
        <v>5</v>
      </c>
      <c r="L11" s="16">
        <v>5</v>
      </c>
      <c r="M11" s="16">
        <v>5</v>
      </c>
      <c r="N11" s="12"/>
      <c r="O11" s="13" t="s">
        <v>28</v>
      </c>
      <c r="P11" s="16">
        <v>5</v>
      </c>
      <c r="Q11" s="8"/>
      <c r="R11" s="9" t="s">
        <v>28</v>
      </c>
      <c r="S11" s="6" t="s">
        <v>43</v>
      </c>
      <c r="T11" s="6">
        <v>0.5</v>
      </c>
      <c r="U11" s="11">
        <v>3</v>
      </c>
      <c r="V11" s="11">
        <v>4</v>
      </c>
      <c r="W11" s="11">
        <v>4</v>
      </c>
      <c r="X11" s="11">
        <v>3</v>
      </c>
      <c r="Y11" s="11">
        <v>3</v>
      </c>
      <c r="Z11" s="11">
        <v>3</v>
      </c>
      <c r="AA11" s="8">
        <v>0.60416666666666663</v>
      </c>
      <c r="AB11" s="9">
        <v>10</v>
      </c>
      <c r="AC11" s="12">
        <v>0.6875</v>
      </c>
      <c r="AD11" s="13">
        <v>8</v>
      </c>
      <c r="AE11" s="6" t="s">
        <v>27</v>
      </c>
      <c r="AF11" s="6"/>
      <c r="AG11" s="7">
        <v>4</v>
      </c>
      <c r="AH11" s="7">
        <v>4</v>
      </c>
      <c r="AI11" s="7">
        <v>4</v>
      </c>
      <c r="AJ11" s="7">
        <v>4</v>
      </c>
      <c r="AK11" s="7">
        <v>4</v>
      </c>
      <c r="AL11" s="8"/>
      <c r="AM11" s="9" t="s">
        <v>28</v>
      </c>
      <c r="AN11" s="6" t="s">
        <v>30</v>
      </c>
      <c r="AO11" s="6"/>
      <c r="AP11" s="7">
        <v>2</v>
      </c>
      <c r="AQ11" s="7">
        <v>2</v>
      </c>
      <c r="AR11" s="7">
        <v>4</v>
      </c>
      <c r="AS11" s="7">
        <v>2</v>
      </c>
      <c r="AT11" s="7">
        <v>2</v>
      </c>
      <c r="AU11" s="7">
        <v>2</v>
      </c>
      <c r="AV11" s="8"/>
      <c r="AW11" s="9" t="s">
        <v>28</v>
      </c>
      <c r="AX11" s="17" t="s">
        <v>40</v>
      </c>
      <c r="AY11" s="17"/>
      <c r="AZ11" s="27">
        <v>4</v>
      </c>
      <c r="BA11" s="18" cm="1">
        <f t="array" ref="BA11">SUMPRODUCT((E11:AZ11=1)+(E11:AZ11=2))</f>
        <v>6</v>
      </c>
      <c r="BB11" s="18">
        <f t="shared" si="0"/>
        <v>4</v>
      </c>
      <c r="BC11" s="18" cm="1">
        <f t="array" ref="BC11">SUMPRODUCT((E11:AZ11=4)+(E11:AZ11=5))</f>
        <v>13</v>
      </c>
      <c r="BD11" s="18">
        <f t="shared" si="1"/>
        <v>0</v>
      </c>
      <c r="BE11" s="18">
        <f t="shared" si="2"/>
        <v>0</v>
      </c>
      <c r="BF11" s="18">
        <f t="shared" si="3"/>
        <v>2</v>
      </c>
      <c r="BG11" s="18">
        <f t="shared" si="4"/>
        <v>0</v>
      </c>
      <c r="BH11" s="19" cm="1">
        <f t="array" ref="BH11">SUMPRODUCT(($E$2:$AZ$2="Do.")*((E11:AZ11=6)+(E11:AZ11=7)+(E11:AZ11=8)+(E11:AZ11=10)+(E11:AZ11=12))+(($E$2:$AZ$2&lt;&gt;"Do.")*((E11:AZ11=6)+(E11:AZ11=7)+(E11:AZ11=8)+(E11:AZ11=10)+(E11:AZ11=12))))*7+SUMPRODUCT(($E$2:$AZ$2="Do.")*((E11:AZ11=9))+(($E$2:$AZ$2&lt;&gt;"Do.")*((E11:AZ11=9))))*13</f>
        <v>14</v>
      </c>
      <c r="BI11" s="18" cm="1">
        <f t="array" ref="BI11">SUMPRODUCT(($E$2:$AZ$2="Do.")*((E11:AZ11=6)+(E11:AZ11=7)+(E11:AZ11=8)+(E11:AZ11=9)+(E11:AZ11=10)+(E11:AZ11=12)))</f>
        <v>1</v>
      </c>
      <c r="BJ11" s="18" cm="1">
        <f t="array" ref="BJ11">SUMPRODUCT(([1]Julio!$AL$2:$AW$2="Do.")*(([1]Julio!AL11:AW11=6)+([1]Julio!AL11:AW11=7)+([1]Julio!AL11:AW11=8)+([1]Julio!AL11:AW11=10)+([1]Julio!AL11:AW11=12))+(([1]Julio!$AL$2:$AW$2&lt;&gt;"Do.")*(([1]Julio!AL11:AW11=6)+([1]Julio!AL11:AW11=7)+([1]Julio!AL11:AW11=8)+([1]Julio!AL11:AW11=10)+([1]Julio!AL11:AW11=12))))*7
+SUMPRODUCT(([1]Julio!$AL$2:$AW$2="Do.")*(([1]Julio!AL11:AW11=9))+(([1]Julio!$AL$2:$AW$2&lt;&gt;"Do.")*(([1]Julio!AL11:AW11=9))))*13
+SUMPRODUCT(($E$2:$L$2="Do.")*((E11:L11=6)+(E11:L11=7)+(E11:L11=8)+(E11:L11=10)+(E11:L11=12))+(($E$2:$L$2&lt;&gt;"Do.")*((E11:L11=6)+(E11:L11=7)+(E11:L11=8)+(E11:L11=10)+(E11:L11=12))))*7
+SUMPRODUCT(($E$2:$L$2="Do.")*((E11:L11=9))+(($E$2:$L$2&lt;&gt;"Do.")*((E11:L11=9))))*13</f>
        <v>0</v>
      </c>
      <c r="BK11" s="20" cm="1">
        <f t="array" ref="BK11">SUMPRODUCT(($E$2:L$2&lt;&gt;"Do.")*(E11:L11=5))*3
+SUMPRODUCT(($E$2:$L$2&lt;&gt;"Do.")*(E11:L11=4)*ISNUMBER(MATCH($E$2:$L$2,{"Ma.";"Lu.";"Mi.";"Ju.";"Vi.";"Sá."},0)))*1.5
+SUMPRODUCT(([1]Julio!$AL$2:$AW$2&lt;&gt;"Do.")*([1]Julio!AL11:AW11=5))*3
+SUMPRODUCT(([1]Julio!$AL$2:$AW$2&lt;&gt;"Do.")*([1]Julio!AL11:AW11=4)*ISNUMBER(MATCH([1]Julio!$AL$2:$AW$2,{"Ma.";"Lu.";"Mi.";"Ju.";"Vi.";"Sá."},0)))*1.5</f>
        <v>10.5</v>
      </c>
      <c r="BL11" s="11" t="str">
        <f>IFERROR(IF((VLOOKUP(B11,[2]DOMINICALES!D$7:H$27,5,FALSE))
+(VLOOKUP(B11,'[2]HORAS EXTRAS NOCTURNAS FESTIVAS'!D$7:H$27,5,FALSE))=BJ11,"OK","MAL"),"NO")</f>
        <v>MAL</v>
      </c>
      <c r="BM11" s="11" t="str">
        <f>IFERROR(IF(VLOOKUP(B11,'[2]RECARGO NOCTURNO'!C$6:Q$26,15,FALSE)=BK11,"OK","MAL"),"NO")</f>
        <v>OK</v>
      </c>
      <c r="BN11" s="18" cm="1">
        <f t="array" ref="BN11">SUMPRODUCT(($M$2:$AI$2="Do.")*((M11:AI11=6)+(M11:AI11=7)+(M11:AI11=8)+(M11:AI11=10)+(M11:AI11=12))+(($M$2:$AI$2&lt;&gt;"Do.")*((M11:AI11=6)+(M11:AI11=7)+(M11:AI11=8)+(M11:AI11=10)+(M11:AI11=12))))*7
+SUMPRODUCT(($M$2:$AI$2="Do.")*((M11:AI11=9))+(($M$2:$AI$2&lt;&gt;"Do.")*((M11:AI11=9))))*13</f>
        <v>14</v>
      </c>
      <c r="BO11" s="20" cm="1">
        <f t="array" ref="BO11">SUMPRODUCT(($M$2:$AI$2&lt;&gt;"Do.")*(M11:AI11=5))*3
+SUMPRODUCT(($M$2:$AI$2&lt;&gt;"Do.")*(M11:AI11=4)*1.5
)</f>
        <v>13.5</v>
      </c>
      <c r="BP11" s="11" t="str">
        <f>IFERROR(IF((VLOOKUP(B11,[3]DOMINICALES!D$7:J$30,7,FALSE))
+(VLOOKUP(B11,'[3]HORAS EXTRAS NOCTURNAS FESTIVAS'!D$7:J$30,7,FALSE))=BN11,"OK","MAL"),"NO")</f>
        <v>OK</v>
      </c>
      <c r="BQ11" s="11" t="str">
        <f>IFERROR(IF(VLOOKUP(B11,'[3]RECARGO NOCTURNO'!C$6:P$29,14,FALSE)=BO11,"OK","MAL"),"NO")</f>
        <v>OK</v>
      </c>
    </row>
    <row r="12" spans="1:69" ht="18" customHeight="1">
      <c r="A12" s="4">
        <v>10</v>
      </c>
      <c r="B12" s="5" t="s">
        <v>60</v>
      </c>
      <c r="C12" s="26" t="s">
        <v>39</v>
      </c>
      <c r="D12" s="26"/>
      <c r="E12" s="16">
        <v>5</v>
      </c>
      <c r="F12" s="8"/>
      <c r="G12" s="9" t="s">
        <v>28</v>
      </c>
      <c r="H12" s="6" t="s">
        <v>43</v>
      </c>
      <c r="I12" s="6">
        <v>0.5625</v>
      </c>
      <c r="J12" s="29">
        <v>3</v>
      </c>
      <c r="K12" s="29">
        <v>3</v>
      </c>
      <c r="L12" s="11">
        <v>3</v>
      </c>
      <c r="M12" s="11">
        <v>3</v>
      </c>
      <c r="N12" s="12">
        <v>0.5</v>
      </c>
      <c r="O12" s="13">
        <v>6</v>
      </c>
      <c r="P12" s="11">
        <v>3</v>
      </c>
      <c r="Q12" s="8"/>
      <c r="R12" s="9" t="s">
        <v>28</v>
      </c>
      <c r="S12" s="6" t="s">
        <v>56</v>
      </c>
      <c r="T12" s="6"/>
      <c r="U12" s="7">
        <v>4</v>
      </c>
      <c r="V12" s="7">
        <v>4</v>
      </c>
      <c r="W12" s="7">
        <v>4</v>
      </c>
      <c r="X12" s="7">
        <v>4</v>
      </c>
      <c r="Y12" s="7">
        <v>4</v>
      </c>
      <c r="Z12" s="7">
        <v>4</v>
      </c>
      <c r="AA12" s="8">
        <v>0.375</v>
      </c>
      <c r="AB12" s="16">
        <v>7</v>
      </c>
      <c r="AC12" s="12"/>
      <c r="AD12" s="13" t="s">
        <v>28</v>
      </c>
      <c r="AE12" s="26" t="s">
        <v>57</v>
      </c>
      <c r="AF12" s="26"/>
      <c r="AG12" s="16">
        <v>1</v>
      </c>
      <c r="AH12" s="16">
        <v>1</v>
      </c>
      <c r="AI12" s="16">
        <v>1</v>
      </c>
      <c r="AJ12" s="16">
        <v>1</v>
      </c>
      <c r="AK12" s="16">
        <v>1</v>
      </c>
      <c r="AL12" s="8">
        <v>0.66666666666666663</v>
      </c>
      <c r="AM12" s="9">
        <v>8</v>
      </c>
      <c r="AN12" s="6" t="s">
        <v>33</v>
      </c>
      <c r="AO12" s="6"/>
      <c r="AP12" s="27">
        <v>5</v>
      </c>
      <c r="AQ12" s="27">
        <v>5</v>
      </c>
      <c r="AR12" s="27">
        <v>5</v>
      </c>
      <c r="AS12" s="27">
        <v>5</v>
      </c>
      <c r="AT12" s="27">
        <v>5</v>
      </c>
      <c r="AU12" s="27">
        <v>5</v>
      </c>
      <c r="AV12" s="8"/>
      <c r="AW12" s="9" t="s">
        <v>28</v>
      </c>
      <c r="AX12" s="17" t="s">
        <v>30</v>
      </c>
      <c r="AY12" s="17"/>
      <c r="AZ12" s="11">
        <v>2</v>
      </c>
      <c r="BA12" s="18" cm="1">
        <f t="array" ref="BA12">SUMPRODUCT((E12:AZ12=1)+(E12:AZ12=2))</f>
        <v>6</v>
      </c>
      <c r="BB12" s="18">
        <f t="shared" si="0"/>
        <v>5</v>
      </c>
      <c r="BC12" s="18" cm="1">
        <f t="array" ref="BC12">SUMPRODUCT((E12:AZ12=4)+(E12:AZ12=5))</f>
        <v>13</v>
      </c>
      <c r="BD12" s="18">
        <f t="shared" si="1"/>
        <v>0</v>
      </c>
      <c r="BE12" s="18">
        <f t="shared" si="2"/>
        <v>0</v>
      </c>
      <c r="BF12" s="18">
        <f t="shared" si="3"/>
        <v>0</v>
      </c>
      <c r="BG12" s="18">
        <f t="shared" si="4"/>
        <v>0</v>
      </c>
      <c r="BH12" s="23" cm="1">
        <f t="array" ref="BH12">SUMPRODUCT(($E$2:$AZ$2="Do.")*((E12:AZ12=6)+(E12:AZ12=7)+(E12:AZ12=8)+(E12:AZ12=10)+(E12:AZ12=12))+(($E$2:$AZ$2&lt;&gt;"Do.")*((E12:AZ12=6)+(E12:AZ12=7)+(E12:AZ12=8)+(E12:AZ12=10)+(E12:AZ12=12))))*7+SUMPRODUCT(($E$2:$AZ$2="Do.")*((E12:AZ12=9))+(($E$2:$AZ$2&lt;&gt;"Do.")*((E12:AZ12=9))))*13</f>
        <v>21</v>
      </c>
      <c r="BI12" s="18" cm="1">
        <f t="array" ref="BI12">SUMPRODUCT(($E$2:$AZ$2="Do.")*((E12:AZ12=6)+(E12:AZ12=7)+(E12:AZ12=8)+(E12:AZ12=9)+(E12:AZ12=10)+(E12:AZ12=12)))</f>
        <v>2</v>
      </c>
      <c r="BJ12" s="18" cm="1">
        <f t="array" ref="BJ12">SUMPRODUCT(([1]Julio!$AL$2:$AW$2="Do.")*(([1]Julio!AL12:AW12=6)+([1]Julio!AL12:AW12=7)+([1]Julio!AL12:AW12=8)+([1]Julio!AL12:AW12=10)+([1]Julio!AL12:AW12=12))+(([1]Julio!$AL$2:$AW$2&lt;&gt;"Do.")*(([1]Julio!AL12:AW12=6)+([1]Julio!AL12:AW12=7)+([1]Julio!AL12:AW12=8)+([1]Julio!AL12:AW12=10)+([1]Julio!AL12:AW12=12))))*7
+SUMPRODUCT(([1]Julio!$AL$2:$AW$2="Do.")*(([1]Julio!AL12:AW12=9))+(([1]Julio!$AL$2:$AW$2&lt;&gt;"Do.")*(([1]Julio!AL12:AW12=9))))*13
+SUMPRODUCT(($E$2:$L$2="Do.")*((E12:L12=6)+(E12:L12=7)+(E12:L12=8)+(E12:L12=10)+(E12:L12=12))+(($E$2:$L$2&lt;&gt;"Do.")*((E12:L12=6)+(E12:L12=7)+(E12:L12=8)+(E12:L12=10)+(E12:L12=12))))*7
+SUMPRODUCT(($E$2:$L$2="Do.")*((E12:L12=9))+(($E$2:$L$2&lt;&gt;"Do.")*((E12:L12=9))))*13</f>
        <v>7</v>
      </c>
      <c r="BK12" s="20" cm="1">
        <f t="array" ref="BK12">SUMPRODUCT(($E$2:L$2&lt;&gt;"Do.")*(E12:L12=5))*3
+SUMPRODUCT(($E$2:$L$2&lt;&gt;"Do.")*(E12:L12=4)*ISNUMBER(MATCH($E$2:$L$2,{"Ma.";"Lu.";"Mi.";"Ju.";"Vi.";"Sá."},0)))*1.5
+SUMPRODUCT(([1]Julio!$AL$2:$AW$2&lt;&gt;"Do.")*([1]Julio!AL12:AW12=5))*3
+SUMPRODUCT(([1]Julio!$AL$2:$AW$2&lt;&gt;"Do.")*([1]Julio!AL12:AW12=4)*ISNUMBER(MATCH([1]Julio!$AL$2:$AW$2,{"Ma.";"Lu.";"Mi.";"Ju.";"Vi.";"Sá."},0)))*1.5</f>
        <v>18</v>
      </c>
      <c r="BL12" s="11" t="str">
        <f>IFERROR(IF((VLOOKUP(B12,[2]DOMINICALES!D$7:H$27,5,FALSE))
+(VLOOKUP(B12,'[2]HORAS EXTRAS NOCTURNAS FESTIVAS'!D$7:H$27,5,FALSE))=BJ12,"OK","MAL"),"NO")</f>
        <v>OK</v>
      </c>
      <c r="BM12" s="11" t="str">
        <f>IFERROR(IF(VLOOKUP(B12,'[2]RECARGO NOCTURNO'!C$6:Q$26,15,FALSE)=BK12,"OK","MAL"),"NO")</f>
        <v>OK</v>
      </c>
      <c r="BN12" s="18" cm="1">
        <f t="array" ref="BN12">SUMPRODUCT(($M$2:$AI$2="Do.")*((M12:AI12=6)+(M12:AI12=7)+(M12:AI12=8)+(M12:AI12=10)+(M12:AI12=12))+(($M$2:$AI$2&lt;&gt;"Do.")*((M12:AI12=6)+(M12:AI12=7)+(M12:AI12=8)+(M12:AI12=10)+(M12:AI12=12))))*7
+SUMPRODUCT(($M$2:$AI$2="Do.")*((M12:AI12=9))+(($M$2:$AI$2&lt;&gt;"Do.")*((M12:AI12=9))))*13</f>
        <v>14</v>
      </c>
      <c r="BO12" s="20" cm="1">
        <f t="array" ref="BO12">SUMPRODUCT(($M$2:$AI$2&lt;&gt;"Do.")*(M12:AI12=5))*3
+SUMPRODUCT(($M$2:$AI$2&lt;&gt;"Do.")*(M12:AI12=4)*1.5
)</f>
        <v>9</v>
      </c>
      <c r="BP12" s="11" t="str">
        <f>IFERROR(IF((VLOOKUP(B12,[3]DOMINICALES!D$7:J$30,7,FALSE))
+(VLOOKUP(B12,'[3]HORAS EXTRAS NOCTURNAS FESTIVAS'!D$7:J$30,7,FALSE))=BN12,"OK","MAL"),"NO")</f>
        <v>MAL</v>
      </c>
      <c r="BQ12" s="11" t="str">
        <f>IFERROR(IF(VLOOKUP(B12,'[3]RECARGO NOCTURNO'!C$6:P$29,14,FALSE)=BO12,"OK","MAL"),"NO")</f>
        <v>OK</v>
      </c>
    </row>
    <row r="13" spans="1:69" ht="18" customHeight="1">
      <c r="A13" s="4">
        <v>11</v>
      </c>
      <c r="B13" s="5" t="s">
        <v>61</v>
      </c>
      <c r="C13" s="10"/>
      <c r="D13" s="10"/>
      <c r="E13" s="11" t="s">
        <v>29</v>
      </c>
      <c r="F13" s="8"/>
      <c r="G13" s="9" t="s">
        <v>28</v>
      </c>
      <c r="H13" s="6" t="s">
        <v>49</v>
      </c>
      <c r="I13" s="6"/>
      <c r="J13" s="11" t="s">
        <v>29</v>
      </c>
      <c r="K13" s="11" t="s">
        <v>29</v>
      </c>
      <c r="L13" s="11">
        <v>4</v>
      </c>
      <c r="M13" s="11">
        <v>4</v>
      </c>
      <c r="N13" s="12">
        <v>0.60416666666666663</v>
      </c>
      <c r="O13" s="13">
        <v>10</v>
      </c>
      <c r="P13" s="11">
        <v>4</v>
      </c>
      <c r="Q13" s="8"/>
      <c r="R13" s="9" t="s">
        <v>28</v>
      </c>
      <c r="S13" s="26" t="s">
        <v>35</v>
      </c>
      <c r="T13" s="26">
        <v>0.5</v>
      </c>
      <c r="U13" s="16">
        <v>3</v>
      </c>
      <c r="V13" s="16">
        <v>3</v>
      </c>
      <c r="W13" s="16">
        <v>3</v>
      </c>
      <c r="X13" s="16">
        <v>3</v>
      </c>
      <c r="Y13" s="16">
        <v>3</v>
      </c>
      <c r="Z13" s="16">
        <v>3</v>
      </c>
      <c r="AA13" s="8">
        <v>0.66666666666666663</v>
      </c>
      <c r="AB13" s="9">
        <v>8</v>
      </c>
      <c r="AC13" s="12"/>
      <c r="AD13" s="13" t="s">
        <v>28</v>
      </c>
      <c r="AE13" s="6" t="s">
        <v>40</v>
      </c>
      <c r="AF13" s="6"/>
      <c r="AG13" s="7">
        <v>4</v>
      </c>
      <c r="AH13" s="7">
        <v>4</v>
      </c>
      <c r="AI13" s="7">
        <v>4</v>
      </c>
      <c r="AJ13" s="7">
        <v>4</v>
      </c>
      <c r="AK13" s="7">
        <v>4</v>
      </c>
      <c r="AL13" s="8">
        <v>0.375</v>
      </c>
      <c r="AM13" s="16">
        <v>7</v>
      </c>
      <c r="AN13" s="6" t="s">
        <v>38</v>
      </c>
      <c r="AO13" s="6"/>
      <c r="AP13" s="27">
        <v>2</v>
      </c>
      <c r="AQ13" s="27">
        <v>2</v>
      </c>
      <c r="AR13" s="27">
        <v>2</v>
      </c>
      <c r="AS13" s="27">
        <v>2</v>
      </c>
      <c r="AT13" s="27">
        <v>2</v>
      </c>
      <c r="AU13" s="27">
        <v>2</v>
      </c>
      <c r="AV13" s="8"/>
      <c r="AW13" s="9" t="s">
        <v>28</v>
      </c>
      <c r="AX13" s="17" t="s">
        <v>33</v>
      </c>
      <c r="AY13" s="17"/>
      <c r="AZ13" s="7">
        <v>5</v>
      </c>
      <c r="BA13" s="18" cm="1">
        <f t="array" ref="BA13">SUMPRODUCT((E13:AZ13=1)+(E13:AZ13=2))</f>
        <v>6</v>
      </c>
      <c r="BB13" s="18">
        <f t="shared" si="0"/>
        <v>6</v>
      </c>
      <c r="BC13" s="18" cm="1">
        <f t="array" ref="BC13">SUMPRODUCT((E13:AZ13=4)+(E13:AZ13=5))</f>
        <v>9</v>
      </c>
      <c r="BD13" s="18">
        <f t="shared" si="1"/>
        <v>0</v>
      </c>
      <c r="BE13" s="18">
        <f t="shared" si="2"/>
        <v>3</v>
      </c>
      <c r="BF13" s="18">
        <f t="shared" si="3"/>
        <v>0</v>
      </c>
      <c r="BG13" s="18">
        <f t="shared" si="4"/>
        <v>0</v>
      </c>
      <c r="BH13" s="23" cm="1">
        <f t="array" ref="BH13">SUMPRODUCT(($E$2:$AZ$2="Do.")*((E13:AZ13=6)+(E13:AZ13=7)+(E13:AZ13=8)+(E13:AZ13=10)+(E13:AZ13=12))+(($E$2:$AZ$2&lt;&gt;"Do.")*((E13:AZ13=6)+(E13:AZ13=7)+(E13:AZ13=8)+(E13:AZ13=10)+(E13:AZ13=12))))*7+SUMPRODUCT(($E$2:$AZ$2="Do.")*((E13:AZ13=9))+(($E$2:$AZ$2&lt;&gt;"Do.")*((E13:AZ13=9))))*13</f>
        <v>21</v>
      </c>
      <c r="BI13" s="18" cm="1">
        <f t="array" ref="BI13">SUMPRODUCT(($E$2:$AZ$2="Do.")*((E13:AZ13=6)+(E13:AZ13=7)+(E13:AZ13=8)+(E13:AZ13=9)+(E13:AZ13=10)+(E13:AZ13=12)))</f>
        <v>2</v>
      </c>
      <c r="BJ13" s="18" cm="1">
        <f t="array" ref="BJ13">SUMPRODUCT(([1]Julio!$AL$2:$AW$2="Do.")*(([1]Julio!AL13:AW13=6)+([1]Julio!AL13:AW13=7)+([1]Julio!AL13:AW13=8)+([1]Julio!AL13:AW13=10)+([1]Julio!AL13:AW13=12))+(([1]Julio!$AL$2:$AW$2&lt;&gt;"Do.")*(([1]Julio!AL13:AW13=6)+([1]Julio!AL13:AW13=7)+([1]Julio!AL13:AW13=8)+([1]Julio!AL13:AW13=10)+([1]Julio!AL13:AW13=12))))*7
+SUMPRODUCT(([1]Julio!$AL$2:$AW$2="Do.")*(([1]Julio!AL13:AW13=9))+(([1]Julio!$AL$2:$AW$2&lt;&gt;"Do.")*(([1]Julio!AL13:AW13=9))))*13
+SUMPRODUCT(($E$2:$L$2="Do.")*((E13:L13=6)+(E13:L13=7)+(E13:L13=8)+(E13:L13=10)+(E13:L13=12))+(($E$2:$L$2&lt;&gt;"Do.")*((E13:L13=6)+(E13:L13=7)+(E13:L13=8)+(E13:L13=10)+(E13:L13=12))))*7
+SUMPRODUCT(($E$2:$L$2="Do.")*((E13:L13=9))+(($E$2:$L$2&lt;&gt;"Do.")*((E13:L13=9))))*13</f>
        <v>0</v>
      </c>
      <c r="BK13" s="20" cm="1">
        <f t="array" ref="BK13">SUMPRODUCT(($E$2:L$2&lt;&gt;"Do.")*(E13:L13=5))*3
+SUMPRODUCT(($E$2:$L$2&lt;&gt;"Do.")*(E13:L13=4)*ISNUMBER(MATCH($E$2:$L$2,{"Ma.";"Lu.";"Mi.";"Ju.";"Vi.";"Sá."},0)))*1.5
+SUMPRODUCT(([1]Julio!$AL$2:$AW$2&lt;&gt;"Do.")*([1]Julio!AL13:AW13=5))*3
+SUMPRODUCT(([1]Julio!$AL$2:$AW$2&lt;&gt;"Do.")*([1]Julio!AL13:AW13=4)*ISNUMBER(MATCH([1]Julio!$AL$2:$AW$2,{"Ma.";"Lu.";"Mi.";"Ju.";"Vi.";"Sá."},0)))*1.5</f>
        <v>1.5</v>
      </c>
      <c r="BL13" s="11" t="str">
        <f>IFERROR(IF((VLOOKUP(B13,[2]DOMINICALES!D$7:H$27,5,FALSE))
+(VLOOKUP(B13,'[2]HORAS EXTRAS NOCTURNAS FESTIVAS'!D$7:H$27,5,FALSE))=BJ13,"OK","MAL"),"NO")</f>
        <v>OK</v>
      </c>
      <c r="BM13" s="11" t="str">
        <f>IFERROR(IF(VLOOKUP(B13,'[2]RECARGO NOCTURNO'!C$6:Q$26,15,FALSE)=BK13,"OK","MAL"),"NO")</f>
        <v>OK</v>
      </c>
      <c r="BN13" s="18" cm="1">
        <f t="array" ref="BN13">SUMPRODUCT(($M$2:$AI$2="Do.")*((M13:AI13=6)+(M13:AI13=7)+(M13:AI13=8)+(M13:AI13=10)+(M13:AI13=12))+(($M$2:$AI$2&lt;&gt;"Do.")*((M13:AI13=6)+(M13:AI13=7)+(M13:AI13=8)+(M13:AI13=10)+(M13:AI13=12))))*7
+SUMPRODUCT(($M$2:$AI$2="Do.")*((M13:AI13=9))+(($M$2:$AI$2&lt;&gt;"Do.")*((M13:AI13=9))))*13</f>
        <v>14</v>
      </c>
      <c r="BO13" s="20" cm="1">
        <f t="array" ref="BO13">SUMPRODUCT(($M$2:$AI$2&lt;&gt;"Do.")*(M13:AI13=5))*3
+SUMPRODUCT(($M$2:$AI$2&lt;&gt;"Do.")*(M13:AI13=4)*1.5
)</f>
        <v>7.5</v>
      </c>
      <c r="BP13" s="11" t="str">
        <f>IFERROR(IF((VLOOKUP(B13,[3]DOMINICALES!D$7:J$30,7,FALSE))
+(VLOOKUP(B13,'[3]HORAS EXTRAS NOCTURNAS FESTIVAS'!D$7:J$30,7,FALSE))=BN13,"OK","MAL"),"NO")</f>
        <v>OK</v>
      </c>
      <c r="BQ13" s="11" t="str">
        <f>IFERROR(IF(VLOOKUP(B13,'[3]RECARGO NOCTURNO'!C$6:P$29,14,FALSE)=BO13,"OK","MAL"),"NO")</f>
        <v>OK</v>
      </c>
    </row>
    <row r="14" spans="1:69" ht="18" customHeight="1">
      <c r="A14" s="4">
        <v>12</v>
      </c>
      <c r="B14" s="5" t="s">
        <v>62</v>
      </c>
      <c r="C14" s="6" t="s">
        <v>63</v>
      </c>
      <c r="D14" s="6"/>
      <c r="E14" s="7">
        <v>2</v>
      </c>
      <c r="F14" s="8">
        <v>0.375</v>
      </c>
      <c r="G14" s="16">
        <v>7</v>
      </c>
      <c r="H14" s="6" t="s">
        <v>33</v>
      </c>
      <c r="I14" s="6"/>
      <c r="J14" s="27">
        <v>5</v>
      </c>
      <c r="K14" s="27">
        <v>5</v>
      </c>
      <c r="L14" s="27">
        <v>5</v>
      </c>
      <c r="M14" s="27">
        <v>5</v>
      </c>
      <c r="N14" s="12">
        <v>0.64583333333333337</v>
      </c>
      <c r="O14" s="13">
        <v>8</v>
      </c>
      <c r="P14" s="27">
        <v>5</v>
      </c>
      <c r="Q14" s="8">
        <v>0.5</v>
      </c>
      <c r="R14" s="9">
        <v>6</v>
      </c>
      <c r="S14" s="6" t="s">
        <v>41</v>
      </c>
      <c r="T14" s="6">
        <v>0.5625</v>
      </c>
      <c r="U14" s="11">
        <v>3</v>
      </c>
      <c r="V14" s="11">
        <v>3</v>
      </c>
      <c r="W14" s="11">
        <v>3</v>
      </c>
      <c r="X14" s="11" t="s">
        <v>29</v>
      </c>
      <c r="Y14" s="11" t="s">
        <v>29</v>
      </c>
      <c r="Z14" s="11" t="s">
        <v>29</v>
      </c>
      <c r="AA14" s="8"/>
      <c r="AB14" s="13" t="s">
        <v>29</v>
      </c>
      <c r="AC14" s="12"/>
      <c r="AD14" s="13" t="s">
        <v>29</v>
      </c>
      <c r="AE14" s="30"/>
      <c r="AF14" s="10"/>
      <c r="AG14" s="11" t="s">
        <v>29</v>
      </c>
      <c r="AH14" s="11" t="s">
        <v>29</v>
      </c>
      <c r="AI14" s="11" t="s">
        <v>29</v>
      </c>
      <c r="AJ14" s="11" t="s">
        <v>29</v>
      </c>
      <c r="AK14" s="11" t="s">
        <v>29</v>
      </c>
      <c r="AL14" s="8"/>
      <c r="AM14" s="9" t="s">
        <v>29</v>
      </c>
      <c r="AN14" s="10"/>
      <c r="AO14" s="10"/>
      <c r="AP14" s="11" t="s">
        <v>29</v>
      </c>
      <c r="AQ14" s="11" t="s">
        <v>29</v>
      </c>
      <c r="AR14" s="11" t="s">
        <v>29</v>
      </c>
      <c r="AS14" s="11" t="s">
        <v>29</v>
      </c>
      <c r="AT14" s="11" t="s">
        <v>29</v>
      </c>
      <c r="AU14" s="11" t="s">
        <v>29</v>
      </c>
      <c r="AV14" s="8"/>
      <c r="AW14" s="11" t="s">
        <v>29</v>
      </c>
      <c r="AX14" s="10"/>
      <c r="AY14" s="10"/>
      <c r="AZ14" s="11" t="s">
        <v>29</v>
      </c>
      <c r="BA14" s="18" cm="1">
        <f t="array" ref="BA14">SUMPRODUCT((E14:AZ14=1)+(E14:AZ14=2))</f>
        <v>1</v>
      </c>
      <c r="BB14" s="18">
        <f t="shared" si="0"/>
        <v>3</v>
      </c>
      <c r="BC14" s="18" cm="1">
        <f t="array" ref="BC14">SUMPRODUCT((E14:AZ14=4)+(E14:AZ14=5))</f>
        <v>5</v>
      </c>
      <c r="BD14" s="18">
        <f t="shared" si="1"/>
        <v>0</v>
      </c>
      <c r="BE14" s="18">
        <f t="shared" si="2"/>
        <v>19</v>
      </c>
      <c r="BF14" s="18">
        <f t="shared" si="3"/>
        <v>0</v>
      </c>
      <c r="BG14" s="18">
        <f t="shared" si="4"/>
        <v>0</v>
      </c>
      <c r="BH14" s="23" cm="1">
        <f t="array" ref="BH14">SUMPRODUCT(($E$2:$AZ$2="Do.")*((E14:AZ14=6)+(E14:AZ14=7)+(E14:AZ14=8)+(E14:AZ14=10)+(E14:AZ14=12))+(($E$2:$AZ$2&lt;&gt;"Do.")*((E14:AZ14=6)+(E14:AZ14=7)+(E14:AZ14=8)+(E14:AZ14=10)+(E14:AZ14=12))))*7+SUMPRODUCT(($E$2:$AZ$2="Do.")*((E14:AZ14=9))+(($E$2:$AZ$2&lt;&gt;"Do.")*((E14:AZ14=9))))*13</f>
        <v>21</v>
      </c>
      <c r="BI14" s="18" cm="1">
        <f t="array" ref="BI14">SUMPRODUCT(($E$2:$AZ$2="Do.")*((E14:AZ14=6)+(E14:AZ14=7)+(E14:AZ14=8)+(E14:AZ14=9)+(E14:AZ14=10)+(E14:AZ14=12)))</f>
        <v>2</v>
      </c>
      <c r="BJ14" s="18" cm="1">
        <f t="array" ref="BJ14">SUMPRODUCT(([1]Julio!$AL$2:$AW$2="Do.")*(([1]Julio!AL14:AW14=6)+([1]Julio!AL14:AW14=7)+([1]Julio!AL14:AW14=8)+([1]Julio!AL14:AW14=10)+([1]Julio!AL14:AW14=12))+(([1]Julio!$AL$2:$AW$2&lt;&gt;"Do.")*(([1]Julio!AL14:AW14=6)+([1]Julio!AL14:AW14=7)+([1]Julio!AL14:AW14=8)+([1]Julio!AL14:AW14=10)+([1]Julio!AL14:AW14=12))))*7
+SUMPRODUCT(([1]Julio!$AL$2:$AW$2="Do.")*(([1]Julio!AL14:AW14=9))+(([1]Julio!$AL$2:$AW$2&lt;&gt;"Do.")*(([1]Julio!AL14:AW14=9))))*13
+SUMPRODUCT(($E$2:$L$2="Do.")*((E14:L14=6)+(E14:L14=7)+(E14:L14=8)+(E14:L14=10)+(E14:L14=12))+(($E$2:$L$2&lt;&gt;"Do.")*((E14:L14=6)+(E14:L14=7)+(E14:L14=8)+(E14:L14=10)+(E14:L14=12))))*7
+SUMPRODUCT(($E$2:$L$2="Do.")*((E14:L14=9))+(($E$2:$L$2&lt;&gt;"Do.")*((E14:L14=9))))*13</f>
        <v>14</v>
      </c>
      <c r="BK14" s="20" cm="1">
        <f t="array" ref="BK14">SUMPRODUCT(($E$2:L$2&lt;&gt;"Do.")*(E14:L14=5))*3
+SUMPRODUCT(($E$2:$L$2&lt;&gt;"Do.")*(E14:L14=4)*ISNUMBER(MATCH($E$2:$L$2,{"Ma.";"Lu.";"Mi.";"Ju.";"Vi.";"Sá."},0)))*1.5
+SUMPRODUCT(([1]Julio!$AL$2:$AW$2&lt;&gt;"Do.")*([1]Julio!AL14:AW14=5))*3
+SUMPRODUCT(([1]Julio!$AL$2:$AW$2&lt;&gt;"Do.")*([1]Julio!AL14:AW14=4)*ISNUMBER(MATCH([1]Julio!$AL$2:$AW$2,{"Ma.";"Lu.";"Mi.";"Ju.";"Vi.";"Sá."},0)))*1.5</f>
        <v>18</v>
      </c>
      <c r="BL14" s="11" t="str">
        <f>IFERROR(IF((VLOOKUP(B14,[2]DOMINICALES!D$7:H$27,5,FALSE))
+(VLOOKUP(B14,'[2]HORAS EXTRAS NOCTURNAS FESTIVAS'!D$7:H$27,5,FALSE))=BJ14,"OK","MAL"),"NO")</f>
        <v>OK</v>
      </c>
      <c r="BM14" s="11" t="str">
        <f>IFERROR(IF(VLOOKUP(B14,'[2]RECARGO NOCTURNO'!C$6:Q$26,15,FALSE)=BK14,"OK","MAL"),"NO")</f>
        <v>OK</v>
      </c>
      <c r="BN14" s="18" cm="1">
        <f t="array" ref="BN14">SUMPRODUCT(($M$2:$AI$2="Do.")*((M14:AI14=6)+(M14:AI14=7)+(M14:AI14=8)+(M14:AI14=10)+(M14:AI14=12))+(($M$2:$AI$2&lt;&gt;"Do.")*((M14:AI14=6)+(M14:AI14=7)+(M14:AI14=8)+(M14:AI14=10)+(M14:AI14=12))))*7
+SUMPRODUCT(($M$2:$AI$2="Do.")*((M14:AI14=9))+(($M$2:$AI$2&lt;&gt;"Do.")*((M14:AI14=9))))*13</f>
        <v>14</v>
      </c>
      <c r="BO14" s="20" cm="1">
        <f t="array" ref="BO14">SUMPRODUCT(($M$2:$AI$2&lt;&gt;"Do.")*(M14:AI14=5))*3
+SUMPRODUCT(($M$2:$AI$2&lt;&gt;"Do.")*(M14:AI14=4)*1.5
)</f>
        <v>6</v>
      </c>
      <c r="BP14" s="11" t="str">
        <f>IFERROR(IF((VLOOKUP(B14,[3]DOMINICALES!D$7:J$30,7,FALSE))
+(VLOOKUP(B14,'[3]HORAS EXTRAS NOCTURNAS FESTIVAS'!D$7:J$30,7,FALSE))=BN14,"OK","MAL"),"NO")</f>
        <v>OK</v>
      </c>
      <c r="BQ14" s="11" t="str">
        <f>IFERROR(IF(VLOOKUP(B14,'[3]RECARGO NOCTURNO'!C$6:P$29,14,FALSE)=BO14,"OK","MAL"),"NO")</f>
        <v>OK</v>
      </c>
    </row>
    <row r="15" spans="1:69" ht="18" customHeight="1">
      <c r="A15" s="4">
        <v>13</v>
      </c>
      <c r="B15" s="5" t="s">
        <v>64</v>
      </c>
      <c r="C15" s="31" t="s">
        <v>41</v>
      </c>
      <c r="D15" s="31">
        <v>0.54166666666666663</v>
      </c>
      <c r="E15" s="32">
        <v>3</v>
      </c>
      <c r="F15" s="8"/>
      <c r="G15" s="9" t="s">
        <v>28</v>
      </c>
      <c r="H15" s="31">
        <v>0.5</v>
      </c>
      <c r="I15" s="6"/>
      <c r="J15" s="32">
        <v>2</v>
      </c>
      <c r="K15" s="32">
        <v>2</v>
      </c>
      <c r="L15" s="32">
        <v>2</v>
      </c>
      <c r="M15" s="32">
        <v>2</v>
      </c>
      <c r="N15" s="12"/>
      <c r="O15" s="13" t="s">
        <v>28</v>
      </c>
      <c r="P15" s="32">
        <v>2</v>
      </c>
      <c r="Q15" s="8"/>
      <c r="R15" s="9" t="s">
        <v>28</v>
      </c>
      <c r="S15" s="31" t="s">
        <v>57</v>
      </c>
      <c r="T15" s="6"/>
      <c r="U15" s="32">
        <v>1</v>
      </c>
      <c r="V15" s="32">
        <v>1</v>
      </c>
      <c r="W15" s="32">
        <v>1</v>
      </c>
      <c r="X15" s="32">
        <v>1</v>
      </c>
      <c r="Y15" s="32">
        <v>1</v>
      </c>
      <c r="Z15" s="32">
        <v>1</v>
      </c>
      <c r="AA15" s="8"/>
      <c r="AB15" s="9" t="s">
        <v>28</v>
      </c>
      <c r="AC15" s="12"/>
      <c r="AD15" s="9" t="s">
        <v>28</v>
      </c>
      <c r="AE15" s="31" t="s">
        <v>54</v>
      </c>
      <c r="AF15" s="31">
        <v>0.54166666666666663</v>
      </c>
      <c r="AG15" s="32">
        <v>3</v>
      </c>
      <c r="AH15" s="32">
        <v>3</v>
      </c>
      <c r="AI15" s="32">
        <v>3</v>
      </c>
      <c r="AJ15" s="32">
        <v>3</v>
      </c>
      <c r="AK15" s="32">
        <v>3</v>
      </c>
      <c r="AL15" s="8"/>
      <c r="AM15" s="9" t="s">
        <v>28</v>
      </c>
      <c r="AN15" s="31">
        <v>0.5</v>
      </c>
      <c r="AO15" s="6"/>
      <c r="AP15" s="32">
        <v>2</v>
      </c>
      <c r="AQ15" s="32">
        <v>2</v>
      </c>
      <c r="AR15" s="32">
        <v>2</v>
      </c>
      <c r="AS15" s="32">
        <v>2</v>
      </c>
      <c r="AT15" s="32">
        <v>2</v>
      </c>
      <c r="AU15" s="32">
        <v>2</v>
      </c>
      <c r="AV15" s="8"/>
      <c r="AW15" s="9" t="s">
        <v>28</v>
      </c>
      <c r="AX15" s="33" t="s">
        <v>46</v>
      </c>
      <c r="AY15" s="17"/>
      <c r="AZ15" s="32">
        <v>1</v>
      </c>
      <c r="BA15" s="18" cm="1">
        <f t="array" ref="BA15">SUMPRODUCT((E15:AZ15=1)+(E15:AZ15=2))</f>
        <v>18</v>
      </c>
      <c r="BB15" s="18">
        <f t="shared" si="0"/>
        <v>6</v>
      </c>
      <c r="BC15" s="18" cm="1">
        <f t="array" ref="BC15">SUMPRODUCT((E15:AZ15=4)+(E15:AZ15=5))</f>
        <v>0</v>
      </c>
      <c r="BD15" s="18">
        <f t="shared" si="1"/>
        <v>0</v>
      </c>
      <c r="BE15" s="18">
        <f t="shared" si="2"/>
        <v>0</v>
      </c>
      <c r="BF15" s="18">
        <f t="shared" si="3"/>
        <v>0</v>
      </c>
      <c r="BG15" s="18">
        <f t="shared" si="4"/>
        <v>0</v>
      </c>
      <c r="BH15" s="23" cm="1">
        <f t="array" ref="BH15">SUMPRODUCT(($E$2:$AZ$2="Do.")*((E15:AZ15=6)+(E15:AZ15=7)+(E15:AZ15=8)+(E15:AZ15=10)+(E15:AZ15=12))+(($E$2:$AZ$2&lt;&gt;"Do.")*((E15:AZ15=6)+(E15:AZ15=7)+(E15:AZ15=8)+(E15:AZ15=10)+(E15:AZ15=12))))*7+SUMPRODUCT(($E$2:$AZ$2="Do.")*((E15:AZ15=9))+(($E$2:$AZ$2&lt;&gt;"Do.")*((E15:AZ15=9))))*13</f>
        <v>0</v>
      </c>
      <c r="BI15" s="18" cm="1">
        <f t="array" ref="BI15">SUMPRODUCT(($E$2:$AZ$2="Do.")*((E15:AZ15=6)+(E15:AZ15=7)+(E15:AZ15=8)+(E15:AZ15=9)+(E15:AZ15=10)+(E15:AZ15=12)))</f>
        <v>0</v>
      </c>
      <c r="BJ15" s="18" cm="1">
        <f t="array" ref="BJ15">SUMPRODUCT(([1]Julio!$AL$2:$AW$2="Do.")*(([1]Julio!AL15:AW15=6)+([1]Julio!AL15:AW15=7)+([1]Julio!AL15:AW15=8)+([1]Julio!AL15:AW15=10)+([1]Julio!AL15:AW15=12))+(([1]Julio!$AL$2:$AW$2&lt;&gt;"Do.")*(([1]Julio!AL15:AW15=6)+([1]Julio!AL15:AW15=7)+([1]Julio!AL15:AW15=8)+([1]Julio!AL15:AW15=10)+([1]Julio!AL15:AW15=12))))*7
+SUMPRODUCT(([1]Julio!$AL$2:$AW$2="Do.")*(([1]Julio!AL15:AW15=9))+(([1]Julio!$AL$2:$AW$2&lt;&gt;"Do.")*(([1]Julio!AL15:AW15=9))))*13
+SUMPRODUCT(($E$2:$L$2="Do.")*((E15:L15=6)+(E15:L15=7)+(E15:L15=8)+(E15:L15=10)+(E15:L15=12))+(($E$2:$L$2&lt;&gt;"Do.")*((E15:L15=6)+(E15:L15=7)+(E15:L15=8)+(E15:L15=10)+(E15:L15=12))))*7
+SUMPRODUCT(($E$2:$L$2="Do.")*((E15:L15=9))+(($E$2:$L$2&lt;&gt;"Do.")*((E15:L15=9))))*13</f>
        <v>0</v>
      </c>
      <c r="BK15" s="20" cm="1">
        <f t="array" ref="BK15">SUMPRODUCT(($E$2:L$2&lt;&gt;"Do.")*(E15:L15=5))*3
+SUMPRODUCT(($E$2:$L$2&lt;&gt;"Do.")*(E15:L15=4)*ISNUMBER(MATCH($E$2:$L$2,{"Ma.";"Lu.";"Mi.";"Ju.";"Vi.";"Sá."},0)))*1.5
+SUMPRODUCT(([1]Julio!$AL$2:$AW$2&lt;&gt;"Do.")*([1]Julio!AL15:AW15=5))*3
+SUMPRODUCT(([1]Julio!$AL$2:$AW$2&lt;&gt;"Do.")*([1]Julio!AL15:AW15=4)*ISNUMBER(MATCH([1]Julio!$AL$2:$AW$2,{"Ma.";"Lu.";"Mi.";"Ju.";"Vi.";"Sá."},0)))*1.5</f>
        <v>0</v>
      </c>
      <c r="BL15" s="11" t="str">
        <f>IFERROR(IF((VLOOKUP(B15,[2]DOMINICALES!D$7:H$27,5,FALSE))
+(VLOOKUP(B15,'[2]HORAS EXTRAS NOCTURNAS FESTIVAS'!D$7:H$27,5,FALSE))=BJ15,"OK","MAL"),"NO")</f>
        <v>OK</v>
      </c>
      <c r="BM15" s="11" t="str">
        <f>IFERROR(IF(VLOOKUP(B15,'[2]RECARGO NOCTURNO'!C$6:Q$26,15,FALSE)=BK15,"OK","MAL"),"NO")</f>
        <v>OK</v>
      </c>
      <c r="BN15" s="18" cm="1">
        <f t="array" ref="BN15">SUMPRODUCT(($M$2:$AI$2="Do.")*((M15:AI15=6)+(M15:AI15=7)+(M15:AI15=8)+(M15:AI15=10)+(M15:AI15=12))+(($M$2:$AI$2&lt;&gt;"Do.")*((M15:AI15=6)+(M15:AI15=7)+(M15:AI15=8)+(M15:AI15=10)+(M15:AI15=12))))*7
+SUMPRODUCT(($M$2:$AI$2="Do.")*((M15:AI15=9))+(($M$2:$AI$2&lt;&gt;"Do.")*((M15:AI15=9))))*13</f>
        <v>0</v>
      </c>
      <c r="BO15" s="20" cm="1">
        <f t="array" ref="BO15">SUMPRODUCT(($M$2:$AI$2&lt;&gt;"Do.")*(M15:AI15=5))*3
+SUMPRODUCT(($M$2:$AI$2&lt;&gt;"Do.")*(M15:AI15=4)*1.5
)</f>
        <v>0</v>
      </c>
      <c r="BP15" s="11" t="str">
        <f>IFERROR(IF((VLOOKUP(B15,[3]DOMINICALES!D$7:J$30,7,FALSE))
+(VLOOKUP(B15,'[3]HORAS EXTRAS NOCTURNAS FESTIVAS'!D$7:J$30,7,FALSE))=BN15,"OK","MAL"),"NO")</f>
        <v>OK</v>
      </c>
      <c r="BQ15" s="11" t="str">
        <f>IFERROR(IF(VLOOKUP(B15,'[3]RECARGO NOCTURNO'!C$6:P$29,14,FALSE)=BO15,"OK","MAL"),"NO")</f>
        <v>OK</v>
      </c>
    </row>
    <row r="16" spans="1:69" ht="18" customHeight="1">
      <c r="A16" s="4">
        <v>14</v>
      </c>
      <c r="B16" s="22" t="s">
        <v>65</v>
      </c>
      <c r="C16" s="26" t="s">
        <v>35</v>
      </c>
      <c r="D16" s="26">
        <v>0.5</v>
      </c>
      <c r="E16" s="16">
        <v>3</v>
      </c>
      <c r="F16" s="8"/>
      <c r="G16" s="9" t="s">
        <v>28</v>
      </c>
      <c r="H16" s="6" t="s">
        <v>56</v>
      </c>
      <c r="I16" s="6"/>
      <c r="J16" s="16">
        <v>5</v>
      </c>
      <c r="K16" s="15">
        <v>4</v>
      </c>
      <c r="L16" s="15">
        <v>4</v>
      </c>
      <c r="M16" s="15">
        <v>4</v>
      </c>
      <c r="N16" s="12">
        <v>0.66666666666666663</v>
      </c>
      <c r="O16" s="13">
        <v>8</v>
      </c>
      <c r="P16" s="15">
        <v>4</v>
      </c>
      <c r="Q16" s="8"/>
      <c r="R16" s="27" t="s">
        <v>28</v>
      </c>
      <c r="S16" s="34" t="s">
        <v>57</v>
      </c>
      <c r="T16" s="34"/>
      <c r="U16" s="35">
        <v>1</v>
      </c>
      <c r="V16" s="35">
        <v>1</v>
      </c>
      <c r="W16" s="35">
        <v>1</v>
      </c>
      <c r="X16" s="35">
        <v>1</v>
      </c>
      <c r="Y16" s="35">
        <v>1</v>
      </c>
      <c r="Z16" s="35">
        <v>1</v>
      </c>
      <c r="AA16" s="8">
        <v>0.47916666666666669</v>
      </c>
      <c r="AB16" s="9">
        <v>12</v>
      </c>
      <c r="AC16" s="12"/>
      <c r="AD16" s="13" t="s">
        <v>28</v>
      </c>
      <c r="AE16" s="6" t="s">
        <v>43</v>
      </c>
      <c r="AF16" s="6">
        <v>0.5625</v>
      </c>
      <c r="AG16" s="15">
        <v>3</v>
      </c>
      <c r="AH16" s="15">
        <v>3</v>
      </c>
      <c r="AI16" s="15">
        <v>3</v>
      </c>
      <c r="AJ16" s="15">
        <v>3</v>
      </c>
      <c r="AK16" s="15">
        <v>3</v>
      </c>
      <c r="AL16" s="8"/>
      <c r="AM16" s="9" t="s">
        <v>28</v>
      </c>
      <c r="AN16" s="26" t="s">
        <v>57</v>
      </c>
      <c r="AO16" s="26"/>
      <c r="AP16" s="16">
        <v>1</v>
      </c>
      <c r="AQ16" s="16">
        <v>1</v>
      </c>
      <c r="AR16" s="16">
        <v>5</v>
      </c>
      <c r="AS16" s="16">
        <v>1</v>
      </c>
      <c r="AT16" s="16">
        <v>1</v>
      </c>
      <c r="AU16" s="16">
        <v>1</v>
      </c>
      <c r="AV16" s="8">
        <v>0.64583333333333337</v>
      </c>
      <c r="AW16" s="16">
        <v>8</v>
      </c>
      <c r="AX16" s="17" t="s">
        <v>66</v>
      </c>
      <c r="AY16" s="17"/>
      <c r="AZ16" s="27">
        <v>2</v>
      </c>
      <c r="BA16" s="18" cm="1">
        <f t="array" ref="BA16">SUMPRODUCT((E16:AZ16=1)+(E16:AZ16=2))</f>
        <v>12</v>
      </c>
      <c r="BB16" s="18">
        <f t="shared" si="0"/>
        <v>6</v>
      </c>
      <c r="BC16" s="18" cm="1">
        <f t="array" ref="BC16">SUMPRODUCT((E16:AZ16=4)+(E16:AZ16=5))</f>
        <v>6</v>
      </c>
      <c r="BD16" s="18">
        <f t="shared" si="1"/>
        <v>0</v>
      </c>
      <c r="BE16" s="18">
        <f t="shared" si="2"/>
        <v>0</v>
      </c>
      <c r="BF16" s="18">
        <f t="shared" si="3"/>
        <v>0</v>
      </c>
      <c r="BG16" s="18">
        <f t="shared" si="4"/>
        <v>0</v>
      </c>
      <c r="BH16" s="23" cm="1">
        <f t="array" ref="BH16">SUMPRODUCT(($E$2:$AZ$2="Do.")*((E16:AZ16=6)+(E16:AZ16=7)+(E16:AZ16=8)+(E16:AZ16=10)+(E16:AZ16=12))+(($E$2:$AZ$2&lt;&gt;"Do.")*((E16:AZ16=6)+(E16:AZ16=7)+(E16:AZ16=8)+(E16:AZ16=10)+(E16:AZ16=12))))*7+SUMPRODUCT(($E$2:$AZ$2="Do.")*((E16:AZ16=9))+(($E$2:$AZ$2&lt;&gt;"Do.")*((E16:AZ16=9))))*13</f>
        <v>21</v>
      </c>
      <c r="BI16" s="18" cm="1">
        <f t="array" ref="BI16">SUMPRODUCT(($E$2:$AZ$2="Do.")*((E16:AZ16=6)+(E16:AZ16=7)+(E16:AZ16=8)+(E16:AZ16=9)+(E16:AZ16=10)+(E16:AZ16=12)))</f>
        <v>2</v>
      </c>
      <c r="BJ16" s="18" cm="1">
        <f t="array" ref="BJ16">SUMPRODUCT(([1]Julio!$AL$2:$AW$2="Do.")*(([1]Julio!AL16:AW16=6)+([1]Julio!AL16:AW16=7)+([1]Julio!AL16:AW16=8)+([1]Julio!AL16:AW16=10)+([1]Julio!AL16:AW16=12))+(([1]Julio!$AL$2:$AW$2&lt;&gt;"Do.")*(([1]Julio!AL16:AW16=6)+([1]Julio!AL16:AW16=7)+([1]Julio!AL16:AW16=8)+([1]Julio!AL16:AW16=10)+([1]Julio!AL16:AW16=12))))*7
+SUMPRODUCT(([1]Julio!$AL$2:$AW$2="Do.")*(([1]Julio!AL16:AW16=9))+(([1]Julio!$AL$2:$AW$2&lt;&gt;"Do.")*(([1]Julio!AL16:AW16=9))))*13
+SUMPRODUCT(($E$2:$L$2="Do.")*((E16:L16=6)+(E16:L16=7)+(E16:L16=8)+(E16:L16=10)+(E16:L16=12))+(($E$2:$L$2&lt;&gt;"Do.")*((E16:L16=6)+(E16:L16=7)+(E16:L16=8)+(E16:L16=10)+(E16:L16=12))))*7
+SUMPRODUCT(($E$2:$L$2="Do.")*((E16:L16=9))+(($E$2:$L$2&lt;&gt;"Do.")*((E16:L16=9))))*13</f>
        <v>0</v>
      </c>
      <c r="BK16" s="20" cm="1">
        <f t="array" ref="BK16">SUMPRODUCT(($E$2:L$2&lt;&gt;"Do.")*(E16:L16=5))*3
+SUMPRODUCT(($E$2:$L$2&lt;&gt;"Do.")*(E16:L16=4)*ISNUMBER(MATCH($E$2:$L$2,{"Ma.";"Lu.";"Mi.";"Ju.";"Vi.";"Sá."},0)))*1.5
+SUMPRODUCT(([1]Julio!$AL$2:$AW$2&lt;&gt;"Do.")*([1]Julio!AL16:AW16=5))*3
+SUMPRODUCT(([1]Julio!$AL$2:$AW$2&lt;&gt;"Do.")*([1]Julio!AL16:AW16=4)*ISNUMBER(MATCH([1]Julio!$AL$2:$AW$2,{"Ma.";"Lu.";"Mi.";"Ju.";"Vi.";"Sá."},0)))*1.5</f>
        <v>10.5</v>
      </c>
      <c r="BL16" s="11" t="str">
        <f>IFERROR(IF((VLOOKUP(B16,[2]DOMINICALES!D$7:H$27,5,FALSE))
+(VLOOKUP(B16,'[2]HORAS EXTRAS NOCTURNAS FESTIVAS'!D$7:H$27,5,FALSE))=BJ16,"OK","MAL"),"NO")</f>
        <v>OK</v>
      </c>
      <c r="BM16" s="11" t="str">
        <f>IFERROR(IF(VLOOKUP(B16,'[2]RECARGO NOCTURNO'!C$6:Q$26,15,FALSE)=BK16,"OK","MAL"),"NO")</f>
        <v>OK</v>
      </c>
      <c r="BN16" s="18" cm="1">
        <f t="array" ref="BN16">SUMPRODUCT(($M$2:$AI$2="Do.")*((M16:AI16=6)+(M16:AI16=7)+(M16:AI16=8)+(M16:AI16=10)+(M16:AI16=12))+(($M$2:$AI$2&lt;&gt;"Do.")*((M16:AI16=6)+(M16:AI16=7)+(M16:AI16=8)+(M16:AI16=10)+(M16:AI16=12))))*7
+SUMPRODUCT(($M$2:$AI$2="Do.")*((M16:AI16=9))+(($M$2:$AI$2&lt;&gt;"Do.")*((M16:AI16=9))))*13</f>
        <v>14</v>
      </c>
      <c r="BO16" s="20" cm="1">
        <f t="array" ref="BO16">SUMPRODUCT(($M$2:$AI$2&lt;&gt;"Do.")*(M16:AI16=5))*3
+SUMPRODUCT(($M$2:$AI$2&lt;&gt;"Do.")*(M16:AI16=4)*1.5
)</f>
        <v>3</v>
      </c>
      <c r="BP16" s="11" t="str">
        <f>IFERROR(IF((VLOOKUP(B16,[3]DOMINICALES!D$7:J$30,7,FALSE))
+(VLOOKUP(B16,'[3]HORAS EXTRAS NOCTURNAS FESTIVAS'!D$7:J$30,7,FALSE))=BN16,"OK","MAL"),"NO")</f>
        <v>OK</v>
      </c>
      <c r="BQ16" s="11" t="str">
        <f>IFERROR(IF(VLOOKUP(B16,'[3]RECARGO NOCTURNO'!C$6:P$29,14,FALSE)=BO16,"OK","MAL"),"NO")</f>
        <v>OK</v>
      </c>
    </row>
    <row r="17" spans="1:69" ht="18" customHeight="1">
      <c r="A17" s="4">
        <v>15</v>
      </c>
      <c r="B17" s="22" t="s">
        <v>67</v>
      </c>
      <c r="C17" s="31" t="s">
        <v>68</v>
      </c>
      <c r="D17" s="31"/>
      <c r="E17" s="32">
        <v>1</v>
      </c>
      <c r="F17" s="8"/>
      <c r="G17" s="9" t="s">
        <v>28</v>
      </c>
      <c r="H17" s="6" t="s">
        <v>47</v>
      </c>
      <c r="I17" s="6"/>
      <c r="J17" s="7">
        <v>4</v>
      </c>
      <c r="K17" s="7">
        <v>4</v>
      </c>
      <c r="L17" s="7">
        <v>4</v>
      </c>
      <c r="M17" s="7">
        <v>4</v>
      </c>
      <c r="N17" s="12"/>
      <c r="O17" s="16" t="s">
        <v>28</v>
      </c>
      <c r="P17" s="7">
        <v>4</v>
      </c>
      <c r="Q17" s="8">
        <v>0.47916666666666669</v>
      </c>
      <c r="R17" s="9">
        <v>12</v>
      </c>
      <c r="S17" s="6" t="s">
        <v>57</v>
      </c>
      <c r="T17" s="6"/>
      <c r="U17" s="15">
        <v>1</v>
      </c>
      <c r="V17" s="15">
        <v>1</v>
      </c>
      <c r="W17" s="15">
        <v>1</v>
      </c>
      <c r="X17" s="15">
        <v>1</v>
      </c>
      <c r="Y17" s="15">
        <v>1</v>
      </c>
      <c r="Z17" s="15">
        <v>1</v>
      </c>
      <c r="AA17" s="8">
        <v>0.5</v>
      </c>
      <c r="AB17" s="9">
        <v>6</v>
      </c>
      <c r="AC17" s="12">
        <v>0.60416666666666663</v>
      </c>
      <c r="AD17" s="13">
        <v>10</v>
      </c>
      <c r="AE17" s="6" t="s">
        <v>33</v>
      </c>
      <c r="AF17" s="6"/>
      <c r="AG17" s="27">
        <v>5</v>
      </c>
      <c r="AH17" s="27">
        <v>5</v>
      </c>
      <c r="AI17" s="27">
        <v>5</v>
      </c>
      <c r="AJ17" s="36">
        <v>2</v>
      </c>
      <c r="AK17" s="27">
        <v>5</v>
      </c>
      <c r="AL17" s="8"/>
      <c r="AM17" s="9" t="s">
        <v>28</v>
      </c>
      <c r="AN17" s="6" t="s">
        <v>41</v>
      </c>
      <c r="AO17" s="6">
        <v>0.5625</v>
      </c>
      <c r="AP17" s="15">
        <v>3</v>
      </c>
      <c r="AQ17" s="15">
        <v>3</v>
      </c>
      <c r="AR17" s="15">
        <v>3</v>
      </c>
      <c r="AS17" s="15">
        <v>3</v>
      </c>
      <c r="AT17" s="15">
        <v>3</v>
      </c>
      <c r="AU17" s="15">
        <v>3</v>
      </c>
      <c r="AV17" s="8"/>
      <c r="AW17" s="9" t="s">
        <v>28</v>
      </c>
      <c r="AX17" s="17" t="s">
        <v>46</v>
      </c>
      <c r="AY17" s="17"/>
      <c r="AZ17" s="7">
        <v>1</v>
      </c>
      <c r="BA17" s="18" cm="1">
        <f t="array" ref="BA17">SUMPRODUCT((E17:AZ17=1)+(E17:AZ17=2))</f>
        <v>9</v>
      </c>
      <c r="BB17" s="18">
        <f t="shared" si="0"/>
        <v>6</v>
      </c>
      <c r="BC17" s="18" cm="1">
        <f t="array" ref="BC17">SUMPRODUCT((E17:AZ17=4)+(E17:AZ17=5))</f>
        <v>9</v>
      </c>
      <c r="BD17" s="18">
        <f t="shared" si="1"/>
        <v>0</v>
      </c>
      <c r="BE17" s="18">
        <f t="shared" si="2"/>
        <v>0</v>
      </c>
      <c r="BF17" s="18">
        <f t="shared" si="3"/>
        <v>0</v>
      </c>
      <c r="BG17" s="18">
        <f t="shared" si="4"/>
        <v>0</v>
      </c>
      <c r="BH17" s="23" cm="1">
        <f t="array" ref="BH17">SUMPRODUCT(($E$2:$AZ$2="Do.")*((E17:AZ17=6)+(E17:AZ17=7)+(E17:AZ17=8)+(E17:AZ17=10)+(E17:AZ17=12))+(($E$2:$AZ$2&lt;&gt;"Do.")*((E17:AZ17=6)+(E17:AZ17=7)+(E17:AZ17=8)+(E17:AZ17=10)+(E17:AZ17=12))))*7+SUMPRODUCT(($E$2:$AZ$2="Do.")*((E17:AZ17=9))+(($E$2:$AZ$2&lt;&gt;"Do.")*((E17:AZ17=9))))*13</f>
        <v>21</v>
      </c>
      <c r="BI17" s="18" cm="1">
        <f t="array" ref="BI17">SUMPRODUCT(($E$2:$AZ$2="Do.")*((E17:AZ17=6)+(E17:AZ17=7)+(E17:AZ17=8)+(E17:AZ17=9)+(E17:AZ17=10)+(E17:AZ17=12)))</f>
        <v>2</v>
      </c>
      <c r="BJ17" s="18" cm="1">
        <f t="array" ref="BJ17">SUMPRODUCT(([1]Julio!$AL$2:$AW$2="Do.")*(([1]Julio!AL17:AW17=6)+([1]Julio!AL17:AW17=7)+([1]Julio!AL17:AW17=8)+([1]Julio!AL17:AW17=10)+([1]Julio!AL17:AW17=12))+(([1]Julio!$AL$2:$AW$2&lt;&gt;"Do.")*(([1]Julio!AL17:AW17=6)+([1]Julio!AL17:AW17=7)+([1]Julio!AL17:AW17=8)+([1]Julio!AL17:AW17=10)+([1]Julio!AL17:AW17=12))))*7
+SUMPRODUCT(([1]Julio!$AL$2:$AW$2="Do.")*(([1]Julio!AL17:AW17=9))+(([1]Julio!$AL$2:$AW$2&lt;&gt;"Do.")*(([1]Julio!AL17:AW17=9))))*13
+SUMPRODUCT(($E$2:$L$2="Do.")*((E17:L17=6)+(E17:L17=7)+(E17:L17=8)+(E17:L17=10)+(E17:L17=12))+(($E$2:$L$2&lt;&gt;"Do.")*((E17:L17=6)+(E17:L17=7)+(E17:L17=8)+(E17:L17=10)+(E17:L17=12))))*7
+SUMPRODUCT(($E$2:$L$2="Do.")*((E17:L17=9))+(($E$2:$L$2&lt;&gt;"Do.")*((E17:L17=9))))*13</f>
        <v>0</v>
      </c>
      <c r="BK17" s="20" cm="1">
        <f t="array" ref="BK17">SUMPRODUCT(($E$2:L$2&lt;&gt;"Do.")*(E17:L17=5))*3
+SUMPRODUCT(($E$2:$L$2&lt;&gt;"Do.")*(E17:L17=4)*ISNUMBER(MATCH($E$2:$L$2,{"Ma.";"Lu.";"Mi.";"Ju.";"Vi.";"Sá."},0)))*1.5
+SUMPRODUCT(([1]Julio!$AL$2:$AW$2&lt;&gt;"Do.")*([1]Julio!AL17:AW17=5))*3
+SUMPRODUCT(([1]Julio!$AL$2:$AW$2&lt;&gt;"Do.")*([1]Julio!AL17:AW17=4)*ISNUMBER(MATCH([1]Julio!$AL$2:$AW$2,{"Ma.";"Lu.";"Mi.";"Ju.";"Vi.";"Sá."},0)))*1.5</f>
        <v>4.5</v>
      </c>
      <c r="BL17" s="11" t="str">
        <f>IFERROR(IF((VLOOKUP(B17,[2]DOMINICALES!D$7:H$27,5,FALSE))
+(VLOOKUP(B17,'[2]HORAS EXTRAS NOCTURNAS FESTIVAS'!D$7:H$27,5,FALSE))=BJ17,"OK","MAL"),"NO")</f>
        <v>OK</v>
      </c>
      <c r="BM17" s="11" t="str">
        <f>IFERROR(IF(VLOOKUP(B17,'[2]RECARGO NOCTURNO'!C$6:Q$26,15,FALSE)=BK17,"OK","MAL"),"NO")</f>
        <v>OK</v>
      </c>
      <c r="BN17" s="18" cm="1">
        <f t="array" ref="BN17">SUMPRODUCT(($M$2:$AI$2="Do.")*((M17:AI17=6)+(M17:AI17=7)+(M17:AI17=8)+(M17:AI17=10)+(M17:AI17=12))+(($M$2:$AI$2&lt;&gt;"Do.")*((M17:AI17=6)+(M17:AI17=7)+(M17:AI17=8)+(M17:AI17=10)+(M17:AI17=12))))*7
+SUMPRODUCT(($M$2:$AI$2="Do.")*((M17:AI17=9))+(($M$2:$AI$2&lt;&gt;"Do.")*((M17:AI17=9))))*13</f>
        <v>21</v>
      </c>
      <c r="BO17" s="20" cm="1">
        <f t="array" ref="BO17">SUMPRODUCT(($M$2:$AI$2&lt;&gt;"Do.")*(M17:AI17=5))*3
+SUMPRODUCT(($M$2:$AI$2&lt;&gt;"Do.")*(M17:AI17=4)*1.5
)</f>
        <v>12</v>
      </c>
      <c r="BP17" s="11" t="str">
        <f>IFERROR(IF((VLOOKUP(B17,[3]DOMINICALES!D$7:J$30,7,FALSE))
+(VLOOKUP(B17,'[3]HORAS EXTRAS NOCTURNAS FESTIVAS'!D$7:J$30,7,FALSE))=BN17,"OK","MAL"),"NO")</f>
        <v>OK</v>
      </c>
      <c r="BQ17" s="11" t="str">
        <f>IFERROR(IF(VLOOKUP(B17,'[3]RECARGO NOCTURNO'!C$6:P$29,14,FALSE)=BO17,"OK","MAL"),"NO")</f>
        <v>OK</v>
      </c>
    </row>
    <row r="18" spans="1:69" ht="18" customHeight="1">
      <c r="A18" s="37">
        <v>16</v>
      </c>
      <c r="B18" s="38" t="s">
        <v>69</v>
      </c>
      <c r="C18" s="17" t="s">
        <v>70</v>
      </c>
      <c r="D18" s="17"/>
      <c r="E18" s="39">
        <v>1</v>
      </c>
      <c r="F18" s="40"/>
      <c r="G18" s="41" t="s">
        <v>28</v>
      </c>
      <c r="H18" s="17" t="s">
        <v>44</v>
      </c>
      <c r="I18" s="17"/>
      <c r="J18" s="24">
        <v>5</v>
      </c>
      <c r="K18" s="24">
        <v>5</v>
      </c>
      <c r="L18" s="24">
        <v>5</v>
      </c>
      <c r="M18" s="24">
        <v>5</v>
      </c>
      <c r="N18" s="42">
        <v>0.6875</v>
      </c>
      <c r="O18" s="35">
        <v>8</v>
      </c>
      <c r="P18" s="24">
        <v>5</v>
      </c>
      <c r="Q18" s="40"/>
      <c r="R18" s="41" t="s">
        <v>28</v>
      </c>
      <c r="S18" s="17" t="s">
        <v>46</v>
      </c>
      <c r="T18" s="17"/>
      <c r="U18" s="25">
        <v>1</v>
      </c>
      <c r="V18" s="25">
        <v>1</v>
      </c>
      <c r="W18" s="25">
        <v>1</v>
      </c>
      <c r="X18" s="25">
        <v>1</v>
      </c>
      <c r="Y18" s="25">
        <v>1</v>
      </c>
      <c r="Z18" s="25">
        <v>1</v>
      </c>
      <c r="AA18" s="40">
        <v>0.6875</v>
      </c>
      <c r="AB18" s="16">
        <v>8</v>
      </c>
      <c r="AC18" s="12"/>
      <c r="AD18" s="13" t="s">
        <v>28</v>
      </c>
      <c r="AE18" s="26" t="s">
        <v>35</v>
      </c>
      <c r="AF18" s="26">
        <v>0.5</v>
      </c>
      <c r="AG18" s="35">
        <v>3</v>
      </c>
      <c r="AH18" s="35">
        <v>3</v>
      </c>
      <c r="AI18" s="35">
        <v>3</v>
      </c>
      <c r="AJ18" s="35">
        <v>3</v>
      </c>
      <c r="AK18" s="35">
        <v>3</v>
      </c>
      <c r="AL18" s="40">
        <v>0.5</v>
      </c>
      <c r="AM18" s="9">
        <v>6</v>
      </c>
      <c r="AN18" s="17" t="s">
        <v>49</v>
      </c>
      <c r="AO18" s="17"/>
      <c r="AP18" s="25">
        <v>4</v>
      </c>
      <c r="AQ18" s="25">
        <v>4</v>
      </c>
      <c r="AR18" s="25">
        <v>2</v>
      </c>
      <c r="AS18" s="25">
        <v>4</v>
      </c>
      <c r="AT18" s="25">
        <v>4</v>
      </c>
      <c r="AU18" s="25">
        <v>4</v>
      </c>
      <c r="AV18" s="40"/>
      <c r="AW18" s="9" t="s">
        <v>28</v>
      </c>
      <c r="AX18" s="17" t="s">
        <v>38</v>
      </c>
      <c r="AY18" s="17"/>
      <c r="AZ18" s="24">
        <v>2</v>
      </c>
      <c r="BA18" s="43" cm="1">
        <f t="array" ref="BA18">SUMPRODUCT((E18:AZ18=1)+(E18:AZ18=2))</f>
        <v>9</v>
      </c>
      <c r="BB18" s="43">
        <f>COUNTIF(E18:AZ18,3)</f>
        <v>5</v>
      </c>
      <c r="BC18" s="43" cm="1">
        <f t="array" ref="BC18">SUMPRODUCT((E18:AZ18=4)+(E18:AZ18=5))</f>
        <v>10</v>
      </c>
      <c r="BD18" s="43">
        <f>COUNTIF(E18:AZ18,"C")</f>
        <v>0</v>
      </c>
      <c r="BE18" s="43">
        <f>COUNTIF(E18:AZ18,"V")</f>
        <v>0</v>
      </c>
      <c r="BF18" s="43">
        <f>COUNTIF(E18:AZ18,"I")</f>
        <v>0</v>
      </c>
      <c r="BG18" s="43">
        <f>COUNTIF(E18:AZ18,"O")+COUNTIF(E18:AZ18,"N")+COUNTIF(E18:AZ18,"R")+COUNTIF(E18:AZ18,"P")</f>
        <v>0</v>
      </c>
      <c r="BH18" s="44" cm="1">
        <f t="array" ref="BH18">SUMPRODUCT(($E$2:$AZ$2="Do.")*((E18:AZ18=6)+(E18:AZ18=7)+(E18:AZ18=8)+(E18:AZ18=10)+(E18:AZ18=12))+(($E$2:$AZ$2&lt;&gt;"Do.")*((E18:AZ18=6)+(E18:AZ18=7)+(E18:AZ18=8)+(E18:AZ18=10)+(E18:AZ18=12))))*7+SUMPRODUCT(($E$2:$AZ$2="Do.")*((E18:AZ18=9))+(($E$2:$AZ$2&lt;&gt;"Do.")*((E18:AZ18=9))))*13</f>
        <v>21</v>
      </c>
      <c r="BI18" s="43" cm="1">
        <f t="array" ref="BI18">SUMPRODUCT(($E$2:$AZ$2="Do.")*((E18:AZ18=6)+(E18:AZ18=7)+(E18:AZ18=8)+(E18:AZ18=9)+(E18:AZ18=10)+(E18:AZ18=12)))</f>
        <v>2</v>
      </c>
      <c r="BJ18" s="18" cm="1">
        <f t="array" ref="BJ18">SUMPRODUCT(([1]Julio!$AL$2:$AW$2="Do.")*(([1]Julio!AL18:AW18=6)+([1]Julio!AL18:AW18=7)+([1]Julio!AL18:AW18=8)+([1]Julio!AL18:AW18=10)+([1]Julio!AL18:AW18=12))+(([1]Julio!$AL$2:$AW$2&lt;&gt;"Do.")*(([1]Julio!AL18:AW18=6)+([1]Julio!AL18:AW18=7)+([1]Julio!AL18:AW18=8)+([1]Julio!AL18:AW18=10)+([1]Julio!AL18:AW18=12))))*7
+SUMPRODUCT(([1]Julio!$AL$2:$AW$2="Do.")*(([1]Julio!AL18:AW18=9))+(([1]Julio!$AL$2:$AW$2&lt;&gt;"Do.")*(([1]Julio!AL18:AW18=9))))*13
+SUMPRODUCT(($E$2:$L$2="Do.")*((E18:L18=6)+(E18:L18=7)+(E18:L18=8)+(E18:L18=10)+(E18:L18=12))+(($E$2:$L$2&lt;&gt;"Do.")*((E18:L18=6)+(E18:L18=7)+(E18:L18=8)+(E18:L18=10)+(E18:L18=12))))*7
+SUMPRODUCT(($E$2:$L$2="Do.")*((E18:L18=9))+(($E$2:$L$2&lt;&gt;"Do.")*((E18:L18=9))))*13</f>
        <v>0</v>
      </c>
      <c r="BK18" s="20" cm="1">
        <f t="array" ref="BK18">SUMPRODUCT(($E$2:L$2&lt;&gt;"Do.")*(E18:L18=5))*3
+SUMPRODUCT(($E$2:$L$2&lt;&gt;"Do.")*(E18:L18=4)*ISNUMBER(MATCH($E$2:$L$2,{"Ma.";"Lu.";"Mi.";"Ju.";"Vi.";"Sá."},0)))*1.5
+SUMPRODUCT(([1]Julio!$AL$2:$AW$2&lt;&gt;"Do.")*([1]Julio!AL18:AW18=5))*3
+SUMPRODUCT(([1]Julio!$AL$2:$AW$2&lt;&gt;"Do.")*([1]Julio!AL18:AW18=4)*ISNUMBER(MATCH([1]Julio!$AL$2:$AW$2,{"Ma.";"Lu.";"Mi.";"Ju.";"Vi.";"Sá."},0)))*1.5</f>
        <v>13.5</v>
      </c>
      <c r="BL18" s="11" t="str">
        <f>IFERROR(IF((VLOOKUP(B18,[2]DOMINICALES!D$7:H$27,5,FALSE))
+(VLOOKUP(B18,'[2]HORAS EXTRAS NOCTURNAS FESTIVAS'!D$7:H$27,5,FALSE))=BJ18,"OK","MAL"),"NO")</f>
        <v>OK</v>
      </c>
      <c r="BM18" s="11" t="str">
        <f>IFERROR(IF(VLOOKUP(B18,'[2]RECARGO NOCTURNO'!C$6:Q$26,15,FALSE)=BK18,"OK","MAL"),"NO")</f>
        <v>OK</v>
      </c>
      <c r="BN18" s="18" cm="1">
        <f t="array" ref="BN18">SUMPRODUCT(($M$2:$AI$2="Do.")*((M18:AI18=6)+(M18:AI18=7)+(M18:AI18=8)+(M18:AI18=10)+(M18:AI18=12))+(($M$2:$AI$2&lt;&gt;"Do.")*((M18:AI18=6)+(M18:AI18=7)+(M18:AI18=8)+(M18:AI18=10)+(M18:AI18=12))))*7
+SUMPRODUCT(($M$2:$AI$2="Do.")*((M18:AI18=9))+(($M$2:$AI$2&lt;&gt;"Do.")*((M18:AI18=9))))*13</f>
        <v>14</v>
      </c>
      <c r="BO18" s="20" cm="1">
        <f t="array" ref="BO18">SUMPRODUCT(($M$2:$AI$2&lt;&gt;"Do.")*(M18:AI18=5))*3
+SUMPRODUCT(($M$2:$AI$2&lt;&gt;"Do.")*(M18:AI18=4)*1.5
)</f>
        <v>6</v>
      </c>
      <c r="BP18" s="11" t="str">
        <f>IFERROR(IF((VLOOKUP(B18,[3]DOMINICALES!D$7:J$30,7,FALSE))
+(VLOOKUP(B18,'[3]HORAS EXTRAS NOCTURNAS FESTIVAS'!D$7:J$30,7,FALSE))=BN18,"OK","MAL"),"NO")</f>
        <v>OK</v>
      </c>
      <c r="BQ18" s="11" t="str">
        <f>IFERROR(IF(VLOOKUP(B18,'[3]RECARGO NOCTURNO'!C$6:P$29,14,FALSE)=BO18,"OK","MAL"),"NO")</f>
        <v>OK</v>
      </c>
    </row>
    <row r="19" spans="1:69" ht="18" customHeight="1">
      <c r="A19" s="37">
        <v>17</v>
      </c>
      <c r="B19" s="38" t="s">
        <v>71</v>
      </c>
      <c r="C19" s="17" t="s">
        <v>41</v>
      </c>
      <c r="D19" s="17">
        <v>0.5625</v>
      </c>
      <c r="E19" s="45">
        <v>3</v>
      </c>
      <c r="F19" s="40"/>
      <c r="G19" s="41" t="s">
        <v>28</v>
      </c>
      <c r="H19" s="17" t="s">
        <v>54</v>
      </c>
      <c r="I19" s="17">
        <v>0.5</v>
      </c>
      <c r="J19" s="45">
        <v>3</v>
      </c>
      <c r="K19" s="45">
        <v>3</v>
      </c>
      <c r="L19" s="45">
        <v>3</v>
      </c>
      <c r="M19" s="45">
        <v>3</v>
      </c>
      <c r="N19" s="42"/>
      <c r="O19" s="41" t="s">
        <v>28</v>
      </c>
      <c r="P19" s="45">
        <v>3</v>
      </c>
      <c r="Q19" s="40"/>
      <c r="R19" s="41" t="s">
        <v>28</v>
      </c>
      <c r="S19" s="17" t="s">
        <v>63</v>
      </c>
      <c r="T19" s="17"/>
      <c r="U19" s="45">
        <v>2</v>
      </c>
      <c r="V19" s="45">
        <v>2</v>
      </c>
      <c r="W19" s="45">
        <v>2</v>
      </c>
      <c r="X19" s="45">
        <v>2</v>
      </c>
      <c r="Y19" s="45">
        <v>2</v>
      </c>
      <c r="Z19" s="45">
        <v>2</v>
      </c>
      <c r="AA19" s="40"/>
      <c r="AB19" s="41" t="s">
        <v>28</v>
      </c>
      <c r="AC19" s="42"/>
      <c r="AD19" s="41" t="s">
        <v>28</v>
      </c>
      <c r="AE19" s="28" t="s">
        <v>49</v>
      </c>
      <c r="AF19" s="28"/>
      <c r="AG19" s="24">
        <v>4</v>
      </c>
      <c r="AH19" s="24">
        <v>4</v>
      </c>
      <c r="AI19" s="24">
        <v>4</v>
      </c>
      <c r="AJ19" s="24">
        <v>4</v>
      </c>
      <c r="AK19" s="24">
        <v>4</v>
      </c>
      <c r="AL19" s="8">
        <v>0.47916666666666669</v>
      </c>
      <c r="AM19" s="9">
        <v>12</v>
      </c>
      <c r="AN19" s="17" t="s">
        <v>46</v>
      </c>
      <c r="AO19" s="17"/>
      <c r="AP19" s="46">
        <v>1</v>
      </c>
      <c r="AQ19" s="46">
        <v>1</v>
      </c>
      <c r="AR19" s="46">
        <v>1</v>
      </c>
      <c r="AS19" s="46">
        <v>1</v>
      </c>
      <c r="AT19" s="46">
        <v>1</v>
      </c>
      <c r="AU19" s="46">
        <v>1</v>
      </c>
      <c r="AV19" s="40">
        <v>0.60416666666666663</v>
      </c>
      <c r="AW19" s="9">
        <v>10</v>
      </c>
      <c r="AX19" s="17" t="s">
        <v>44</v>
      </c>
      <c r="AY19" s="17"/>
      <c r="AZ19" s="46">
        <v>5</v>
      </c>
      <c r="BA19" s="43" cm="1">
        <f t="array" ref="BA19">SUMPRODUCT((E19:AZ19=1)+(E19:AZ19=2))</f>
        <v>12</v>
      </c>
      <c r="BB19" s="43">
        <f>COUNTIF(E19:AZ19,3)</f>
        <v>6</v>
      </c>
      <c r="BC19" s="43" cm="1">
        <f t="array" ref="BC19">SUMPRODUCT((E19:AZ19=4)+(E19:AZ19=5))</f>
        <v>6</v>
      </c>
      <c r="BD19" s="43">
        <f>COUNTIF(E19:AZ19,"C")</f>
        <v>0</v>
      </c>
      <c r="BE19" s="43">
        <f>COUNTIF(E19:AZ19,"V")</f>
        <v>0</v>
      </c>
      <c r="BF19" s="43">
        <f>COUNTIF(E19:AZ19,"I")</f>
        <v>0</v>
      </c>
      <c r="BG19" s="43">
        <f>COUNTIF(E19:AZ19,"O")+COUNTIF(E19:AZ19,"N")+COUNTIF(E19:AZ19,"R")+COUNTIF(E19:AZ19,"P")</f>
        <v>0</v>
      </c>
      <c r="BH19" s="47" cm="1">
        <f t="array" ref="BH19">SUMPRODUCT(($E$2:$AZ$2="Do.")*((E19:AZ19=6)+(E19:AZ19=7)+(E19:AZ19=8)+(E19:AZ19=10)+(E19:AZ19=12))+(($E$2:$AZ$2&lt;&gt;"Do.")*((E19:AZ19=6)+(E19:AZ19=7)+(E19:AZ19=8)+(E19:AZ19=10)+(E19:AZ19=12))))*7+SUMPRODUCT(($E$2:$AZ$2="Do.")*((E19:AZ19=9))+(($E$2:$AZ$2&lt;&gt;"Do.")*((E19:AZ19=9))))*13</f>
        <v>14</v>
      </c>
      <c r="BI19" s="43" cm="1">
        <f t="array" ref="BI19">SUMPRODUCT(($E$2:$AZ$2="Do.")*((E19:AZ19=6)+(E19:AZ19=7)+(E19:AZ19=8)+(E19:AZ19=9)+(E19:AZ19=10)+(E19:AZ19=12)))</f>
        <v>2</v>
      </c>
      <c r="BJ19" s="18" cm="1">
        <f t="array" ref="BJ19">SUMPRODUCT(([1]Julio!$AL$2:$AW$2="Do.")*(([1]Julio!AL19:AW19=6)+([1]Julio!AL19:AW19=7)+([1]Julio!AL19:AW19=8)+([1]Julio!AL19:AW19=10)+([1]Julio!AL19:AW19=12))+(([1]Julio!$AL$2:$AW$2&lt;&gt;"Do.")*(([1]Julio!AL19:AW19=6)+([1]Julio!AL19:AW19=7)+([1]Julio!AL19:AW19=8)+([1]Julio!AL19:AW19=10)+([1]Julio!AL19:AW19=12))))*7
+SUMPRODUCT(([1]Julio!$AL$2:$AW$2="Do.")*(([1]Julio!AL19:AW19=9))+(([1]Julio!$AL$2:$AW$2&lt;&gt;"Do.")*(([1]Julio!AL19:AW19=9))))*13
+SUMPRODUCT(($E$2:$L$2="Do.")*((E19:L19=6)+(E19:L19=7)+(E19:L19=8)+(E19:L19=10)+(E19:L19=12))+(($E$2:$L$2&lt;&gt;"Do.")*((E19:L19=6)+(E19:L19=7)+(E19:L19=8)+(E19:L19=10)+(E19:L19=12))))*7
+SUMPRODUCT(($E$2:$L$2="Do.")*((E19:L19=9))+(($E$2:$L$2&lt;&gt;"Do.")*((E19:L19=9))))*13</f>
        <v>0</v>
      </c>
      <c r="BK19" s="20" cm="1">
        <f t="array" ref="BK19">SUMPRODUCT(($E$2:L$2&lt;&gt;"Do.")*(E19:L19=5))*3
+SUMPRODUCT(($E$2:$L$2&lt;&gt;"Do.")*(E19:L19=4)*ISNUMBER(MATCH($E$2:$L$2,{"Ma.";"Lu.";"Mi.";"Ju.";"Vi.";"Sá."},0)))*1.5</f>
        <v>0</v>
      </c>
      <c r="BL19" s="11" t="str">
        <f>IFERROR(IF((VLOOKUP(B19,[2]DOMINICALES!D$7:H$27,5,FALSE))
+(VLOOKUP(B19,'[2]HORAS EXTRAS NOCTURNAS FESTIVAS'!D$7:H$27,5,FALSE))=BJ19,"OK","MAL"),"NO")</f>
        <v>NO</v>
      </c>
      <c r="BM19" s="11" t="str">
        <f>IFERROR(IF(VLOOKUP(B19,'[2]RECARGO NOCTURNO'!C$6:Q$26,15,FALSE)=BK19,"OK","MAL"),"NO")</f>
        <v>NO</v>
      </c>
      <c r="BN19" s="18" cm="1">
        <f t="array" ref="BN19">SUMPRODUCT(($M$2:$AI$2="Do.")*((M19:AI19=6)+(M19:AI19=7)+(M19:AI19=8)+(M19:AI19=10)+(M19:AI19=12))+(($M$2:$AI$2&lt;&gt;"Do.")*((M19:AI19=6)+(M19:AI19=7)+(M19:AI19=8)+(M19:AI19=10)+(M19:AI19=12))))*7
+SUMPRODUCT(($M$2:$AI$2="Do.")*((M19:AI19=9))+(($M$2:$AI$2&lt;&gt;"Do.")*((M19:AI19=9))))*13</f>
        <v>0</v>
      </c>
      <c r="BO19" s="20" cm="1">
        <f t="array" ref="BO19">SUMPRODUCT(($M$2:$AI$2&lt;&gt;"Do.")*(M19:AI19=5))*3
+SUMPRODUCT(($M$2:$AI$2&lt;&gt;"Do.")*(M19:AI19=4)*1.5
)</f>
        <v>4.5</v>
      </c>
      <c r="BP19" s="11" t="str">
        <f>IFERROR(IF((VLOOKUP(B19,[3]DOMINICALES!D$7:J$30,7,FALSE))
+(VLOOKUP(B19,'[3]HORAS EXTRAS NOCTURNAS FESTIVAS'!D$7:J$30,7,FALSE))=BN19,"OK","MAL"),"NO")</f>
        <v>OK</v>
      </c>
      <c r="BQ19" s="11" t="str">
        <f>IFERROR(IF(VLOOKUP(B19,'[3]RECARGO NOCTURNO'!C$6:P$29,14,FALSE)=BO19,"OK","MAL"),"NO")</f>
        <v>OK</v>
      </c>
    </row>
    <row r="20" spans="1:69" ht="18" customHeight="1">
      <c r="A20" s="37">
        <v>18</v>
      </c>
      <c r="B20" s="48" t="s">
        <v>72</v>
      </c>
      <c r="C20" s="17" t="s">
        <v>54</v>
      </c>
      <c r="D20" s="17">
        <v>0.52083333333333337</v>
      </c>
      <c r="E20" s="45">
        <v>3</v>
      </c>
      <c r="F20" s="40"/>
      <c r="G20" s="41" t="s">
        <v>28</v>
      </c>
      <c r="H20" s="17" t="s">
        <v>54</v>
      </c>
      <c r="I20" s="17">
        <v>0.52083333333333337</v>
      </c>
      <c r="J20" s="45">
        <v>3</v>
      </c>
      <c r="K20" s="45">
        <v>3</v>
      </c>
      <c r="L20" s="45">
        <v>3</v>
      </c>
      <c r="M20" s="45">
        <v>3</v>
      </c>
      <c r="N20" s="42"/>
      <c r="O20" s="41" t="s">
        <v>28</v>
      </c>
      <c r="P20" s="45">
        <v>3</v>
      </c>
      <c r="Q20" s="40"/>
      <c r="R20" s="41" t="s">
        <v>28</v>
      </c>
      <c r="S20" s="17" t="s">
        <v>30</v>
      </c>
      <c r="T20" s="17"/>
      <c r="U20" s="45">
        <v>1</v>
      </c>
      <c r="V20" s="45">
        <v>3</v>
      </c>
      <c r="W20" s="45">
        <v>3</v>
      </c>
      <c r="X20" s="45">
        <v>1</v>
      </c>
      <c r="Y20" s="45">
        <v>1</v>
      </c>
      <c r="Z20" s="45">
        <v>1</v>
      </c>
      <c r="AA20" s="40"/>
      <c r="AB20" s="41" t="s">
        <v>28</v>
      </c>
      <c r="AC20" s="42"/>
      <c r="AD20" s="41" t="s">
        <v>28</v>
      </c>
      <c r="AE20" s="28" t="s">
        <v>38</v>
      </c>
      <c r="AF20" s="28"/>
      <c r="AG20" s="24">
        <v>2</v>
      </c>
      <c r="AH20" s="24">
        <v>2</v>
      </c>
      <c r="AI20" s="24">
        <v>2</v>
      </c>
      <c r="AJ20" s="24" t="s">
        <v>50</v>
      </c>
      <c r="AK20" s="24">
        <v>2</v>
      </c>
      <c r="AL20" s="40">
        <v>0.60416666666666663</v>
      </c>
      <c r="AM20" s="9">
        <v>10</v>
      </c>
      <c r="AN20" s="17" t="s">
        <v>54</v>
      </c>
      <c r="AO20" s="17">
        <v>0.54166666666666663</v>
      </c>
      <c r="AP20" s="46">
        <v>3</v>
      </c>
      <c r="AQ20" s="46">
        <v>3</v>
      </c>
      <c r="AR20" s="46">
        <v>3</v>
      </c>
      <c r="AS20" s="46">
        <v>3</v>
      </c>
      <c r="AT20" s="46">
        <v>3</v>
      </c>
      <c r="AU20" s="46">
        <v>3</v>
      </c>
      <c r="AV20" s="40">
        <v>0.6875</v>
      </c>
      <c r="AW20" s="9">
        <v>8</v>
      </c>
      <c r="AX20" s="17" t="s">
        <v>34</v>
      </c>
      <c r="AY20" s="17"/>
      <c r="AZ20" s="46">
        <v>1</v>
      </c>
      <c r="BA20" s="43" cm="1">
        <f t="array" ref="BA20">SUMPRODUCT((E20:AZ20=1)+(E20:AZ20=2))</f>
        <v>9</v>
      </c>
      <c r="BB20" s="43">
        <f>COUNTIF(E20:AZ20,3)</f>
        <v>14</v>
      </c>
      <c r="BC20" s="43" cm="1">
        <f t="array" ref="BC20">SUMPRODUCT((E20:AZ20=4)+(E20:AZ20=5))</f>
        <v>0</v>
      </c>
      <c r="BD20" s="43">
        <f>COUNTIF(E20:AZ20,"C")</f>
        <v>0</v>
      </c>
      <c r="BE20" s="43">
        <f>COUNTIF(E20:AZ20,"V")</f>
        <v>0</v>
      </c>
      <c r="BF20" s="43">
        <f>COUNTIF(E20:AZ20,"I")</f>
        <v>1</v>
      </c>
      <c r="BG20" s="43">
        <f>COUNTIF(E20:AZ20,"O")+COUNTIF(E20:AZ20,"N")+COUNTIF(E20:AZ20,"R")+COUNTIF(E20:AZ20,"P")</f>
        <v>0</v>
      </c>
      <c r="BH20" s="47" cm="1">
        <f t="array" ref="BH20">SUMPRODUCT(($E$2:$AZ$2="Do.")*((E20:AZ20=6)+(E20:AZ20=7)+(E20:AZ20=8)+(E20:AZ20=10)+(E20:AZ20=12))+(($E$2:$AZ$2&lt;&gt;"Do.")*((E20:AZ20=6)+(E20:AZ20=7)+(E20:AZ20=8)+(E20:AZ20=10)+(E20:AZ20=12))))*7+SUMPRODUCT(($E$2:$AZ$2="Do.")*((E20:AZ20=9))+(($E$2:$AZ$2&lt;&gt;"Do.")*((E20:AZ20=9))))*13</f>
        <v>14</v>
      </c>
      <c r="BI20" s="43" cm="1">
        <f t="array" ref="BI20">SUMPRODUCT(($E$2:$AZ$2="Do.")*((E20:AZ20=6)+(E20:AZ20=7)+(E20:AZ20=8)+(E20:AZ20=9)+(E20:AZ20=10)+(E20:AZ20=12)))</f>
        <v>2</v>
      </c>
      <c r="BJ20" s="18" cm="1">
        <f t="array" ref="BJ20">SUMPRODUCT(([1]Julio!$AL$2:$AW$2="Do.")*(([1]Julio!AL20:AW20=6)+([1]Julio!AL20:AW20=7)+([1]Julio!AL20:AW20=8)+([1]Julio!AL20:AW20=10)+([1]Julio!AL20:AW20=12))+(([1]Julio!$AL$2:$AW$2&lt;&gt;"Do.")*(([1]Julio!AL20:AW20=6)+([1]Julio!AL20:AW20=7)+([1]Julio!AL20:AW20=8)+([1]Julio!AL20:AW20=10)+([1]Julio!AL20:AW20=12))))*7
+SUMPRODUCT(([1]Julio!$AL$2:$AW$2="Do.")*(([1]Julio!AL20:AW20=9))+(([1]Julio!$AL$2:$AW$2&lt;&gt;"Do.")*(([1]Julio!AL20:AW20=9))))*13
+SUMPRODUCT(($E$2:$L$2="Do.")*((E20:L20=6)+(E20:L20=7)+(E20:L20=8)+(E20:L20=10)+(E20:L20=12))+(($E$2:$L$2&lt;&gt;"Do.")*((E20:L20=6)+(E20:L20=7)+(E20:L20=8)+(E20:L20=10)+(E20:L20=12))))*7
+SUMPRODUCT(($E$2:$L$2="Do.")*((E20:L20=9))+(($E$2:$L$2&lt;&gt;"Do.")*((E20:L20=9))))*13</f>
        <v>0</v>
      </c>
      <c r="BK20" s="20" cm="1">
        <f t="array" ref="BK20">SUMPRODUCT(($E$2:L$2&lt;&gt;"Do.")*(E20:L20=5))*3
+SUMPRODUCT(($E$2:$L$2&lt;&gt;"Do.")*(E20:L20=4)*ISNUMBER(MATCH($E$2:$L$2,{"Ma.";"Lu.";"Mi.";"Ju.";"Vi.";"Sá."},0)))*1.5</f>
        <v>0</v>
      </c>
      <c r="BL20" s="11" t="str">
        <f>IFERROR(IF((VLOOKUP(B20,[2]DOMINICALES!D$7:H$27,5,FALSE))
+(VLOOKUP(B20,'[2]HORAS EXTRAS NOCTURNAS FESTIVAS'!D$7:H$27,5,FALSE))=BJ20,"OK","MAL"),"NO")</f>
        <v>NO</v>
      </c>
      <c r="BM20" s="11" t="str">
        <f>IFERROR(IF(VLOOKUP(B20,'[2]RECARGO NOCTURNO'!C$6:Q$26,15,FALSE)=BK20,"OK","MAL"),"NO")</f>
        <v>NO</v>
      </c>
      <c r="BN20" s="18" cm="1">
        <f t="array" ref="BN20">SUMPRODUCT(($M$2:$AI$2="Do.")*((M20:AI20=6)+(M20:AI20=7)+(M20:AI20=8)+(M20:AI20=10)+(M20:AI20=12))+(($M$2:$AI$2&lt;&gt;"Do.")*((M20:AI20=6)+(M20:AI20=7)+(M20:AI20=8)+(M20:AI20=10)+(M20:AI20=12))))*7
+SUMPRODUCT(($M$2:$AI$2="Do.")*((M20:AI20=9))+(($M$2:$AI$2&lt;&gt;"Do.")*((M20:AI20=9))))*13</f>
        <v>0</v>
      </c>
      <c r="BO20" s="20" cm="1">
        <f t="array" ref="BO20">SUMPRODUCT(($M$2:$AI$2&lt;&gt;"Do.")*(M20:AI20=5))*3
+SUMPRODUCT(($M$2:$AI$2&lt;&gt;"Do.")*(M20:AI20=4)*1.5
)</f>
        <v>0</v>
      </c>
      <c r="BP20" s="11" t="str">
        <f>IFERROR(IF((VLOOKUP(B20,[3]DOMINICALES!D$7:J$30,7,FALSE))
+(VLOOKUP(B20,'[3]HORAS EXTRAS NOCTURNAS FESTIVAS'!D$7:J$30,7,FALSE))=BN20,"OK","MAL"),"NO")</f>
        <v>OK</v>
      </c>
      <c r="BQ20" s="11" t="str">
        <f>IFERROR(IF(VLOOKUP(B20,'[3]RECARGO NOCTURNO'!C$6:P$29,14,FALSE)=BO20,"OK","MAL"),"NO")</f>
        <v>OK</v>
      </c>
    </row>
    <row r="21" spans="1:69" ht="18" customHeight="1">
      <c r="A21" s="37">
        <v>19</v>
      </c>
      <c r="B21" s="38" t="s">
        <v>73</v>
      </c>
      <c r="C21" s="17" t="s">
        <v>41</v>
      </c>
      <c r="D21" s="17">
        <v>0.5625</v>
      </c>
      <c r="E21" s="45">
        <v>3</v>
      </c>
      <c r="F21" s="40"/>
      <c r="G21" s="41" t="s">
        <v>28</v>
      </c>
      <c r="H21" s="17" t="s">
        <v>35</v>
      </c>
      <c r="I21" s="17">
        <v>0.5</v>
      </c>
      <c r="J21" s="45">
        <v>3</v>
      </c>
      <c r="K21" s="45">
        <v>3</v>
      </c>
      <c r="L21" s="45">
        <v>3</v>
      </c>
      <c r="M21" s="45">
        <v>3</v>
      </c>
      <c r="N21" s="42"/>
      <c r="O21" s="41" t="s">
        <v>28</v>
      </c>
      <c r="P21" s="45">
        <v>3</v>
      </c>
      <c r="Q21" s="40"/>
      <c r="R21" s="41" t="s">
        <v>28</v>
      </c>
      <c r="S21" s="17" t="s">
        <v>30</v>
      </c>
      <c r="T21" s="17"/>
      <c r="U21" s="45">
        <v>2</v>
      </c>
      <c r="V21" s="45">
        <v>2</v>
      </c>
      <c r="W21" s="45">
        <v>2</v>
      </c>
      <c r="X21" s="45">
        <v>2</v>
      </c>
      <c r="Y21" s="45">
        <v>2</v>
      </c>
      <c r="Z21" s="45">
        <v>2</v>
      </c>
      <c r="AA21" s="40"/>
      <c r="AB21" s="41" t="s">
        <v>28</v>
      </c>
      <c r="AC21" s="42"/>
      <c r="AD21" s="41" t="s">
        <v>28</v>
      </c>
      <c r="AE21" s="28" t="s">
        <v>56</v>
      </c>
      <c r="AF21" s="28"/>
      <c r="AG21" s="24">
        <v>4</v>
      </c>
      <c r="AH21" s="24">
        <v>4</v>
      </c>
      <c r="AI21" s="24">
        <v>4</v>
      </c>
      <c r="AJ21" s="24">
        <v>4</v>
      </c>
      <c r="AK21" s="24">
        <v>4</v>
      </c>
      <c r="AL21" s="40">
        <v>0.6875</v>
      </c>
      <c r="AM21" s="9">
        <v>8</v>
      </c>
      <c r="AN21" s="17" t="s">
        <v>36</v>
      </c>
      <c r="AO21" s="17"/>
      <c r="AP21" s="11">
        <v>2</v>
      </c>
      <c r="AQ21" s="11">
        <v>2</v>
      </c>
      <c r="AR21" s="11">
        <v>2</v>
      </c>
      <c r="AS21" s="11">
        <v>2</v>
      </c>
      <c r="AT21" s="11">
        <v>2</v>
      </c>
      <c r="AU21" s="11">
        <v>2</v>
      </c>
      <c r="AV21" s="40">
        <v>0.47916666666666669</v>
      </c>
      <c r="AW21" s="9">
        <v>12</v>
      </c>
      <c r="AX21" s="17" t="s">
        <v>49</v>
      </c>
      <c r="AY21" s="17"/>
      <c r="AZ21" s="46">
        <v>4</v>
      </c>
      <c r="BA21" s="43" cm="1">
        <f t="array" ref="BA21">SUMPRODUCT((E21:AZ21=1)+(E21:AZ21=2))</f>
        <v>12</v>
      </c>
      <c r="BB21" s="43">
        <f>COUNTIF(E21:AZ21,3)</f>
        <v>6</v>
      </c>
      <c r="BC21" s="43" cm="1">
        <f t="array" ref="BC21">SUMPRODUCT((E21:AZ21=4)+(E21:AZ21=5))</f>
        <v>6</v>
      </c>
      <c r="BD21" s="43">
        <f>COUNTIF(E21:AZ21,"C")</f>
        <v>0</v>
      </c>
      <c r="BE21" s="43">
        <f>COUNTIF(E21:AZ21,"V")</f>
        <v>0</v>
      </c>
      <c r="BF21" s="43">
        <f>COUNTIF(E21:AZ21,"I")</f>
        <v>0</v>
      </c>
      <c r="BG21" s="43">
        <f>COUNTIF(E21:AZ21,"O")+COUNTIF(E21:AZ21,"N")+COUNTIF(E21:AZ21,"R")+COUNTIF(E21:AZ21,"P")</f>
        <v>0</v>
      </c>
      <c r="BH21" s="47" cm="1">
        <f t="array" ref="BH21">SUMPRODUCT(($E$2:$AZ$2="Do.")*((E21:AZ21=6)+(E21:AZ21=7)+(E21:AZ21=8)+(E21:AZ21=10)+(E21:AZ21=12))+(($E$2:$AZ$2&lt;&gt;"Do.")*((E21:AZ21=6)+(E21:AZ21=7)+(E21:AZ21=8)+(E21:AZ21=10)+(E21:AZ21=12))))*7+SUMPRODUCT(($E$2:$AZ$2="Do.")*((E21:AZ21=9))+(($E$2:$AZ$2&lt;&gt;"Do.")*((E21:AZ21=9))))*13</f>
        <v>14</v>
      </c>
      <c r="BI21" s="43" cm="1">
        <f t="array" ref="BI21">SUMPRODUCT(($E$2:$AZ$2="Do.")*((E21:AZ21=6)+(E21:AZ21=7)+(E21:AZ21=8)+(E21:AZ21=9)+(E21:AZ21=10)+(E21:AZ21=12)))</f>
        <v>2</v>
      </c>
      <c r="BJ21" s="18" cm="1">
        <f t="array" ref="BJ21">SUMPRODUCT(([1]Julio!$AL$2:$AW$2="Do.")*(([1]Julio!AL21:AW21=6)+([1]Julio!AL21:AW21=7)+([1]Julio!AL21:AW21=8)+([1]Julio!AL21:AW21=10)+([1]Julio!AL21:AW21=12))+(([1]Julio!$AL$2:$AW$2&lt;&gt;"Do.")*(([1]Julio!AL21:AW21=6)+([1]Julio!AL21:AW21=7)+([1]Julio!AL21:AW21=8)+([1]Julio!AL21:AW21=10)+([1]Julio!AL21:AW21=12))))*7
+SUMPRODUCT(([1]Julio!$AL$2:$AW$2="Do.")*(([1]Julio!AL21:AW21=9))+(([1]Julio!$AL$2:$AW$2&lt;&gt;"Do.")*(([1]Julio!AL21:AW21=9))))*13
+SUMPRODUCT(($E$2:$L$2="Do.")*((E21:L21=6)+(E21:L21=7)+(E21:L21=8)+(E21:L21=10)+(E21:L21=12))+(($E$2:$L$2&lt;&gt;"Do.")*((E21:L21=6)+(E21:L21=7)+(E21:L21=8)+(E21:L21=10)+(E21:L21=12))))*7
+SUMPRODUCT(($E$2:$L$2="Do.")*((E21:L21=9))+(($E$2:$L$2&lt;&gt;"Do.")*((E21:L21=9))))*13</f>
        <v>0</v>
      </c>
      <c r="BK21" s="20" cm="1">
        <f t="array" ref="BK21">SUMPRODUCT(($E$2:L$2&lt;&gt;"Do.")*(E21:L21=5))*3
+SUMPRODUCT(($E$2:$L$2&lt;&gt;"Do.")*(E21:L21=4)*ISNUMBER(MATCH($E$2:$L$2,{"Ma.";"Lu.";"Mi.";"Ju.";"Vi.";"Sá."},0)))*1.5</f>
        <v>0</v>
      </c>
      <c r="BL21" s="11" t="str">
        <f>IFERROR(IF((VLOOKUP(B21,[2]DOMINICALES!D$7:H$27,5,FALSE))
+(VLOOKUP(B21,'[2]HORAS EXTRAS NOCTURNAS FESTIVAS'!D$7:H$27,5,FALSE))=BJ21,"OK","MAL"),"NO")</f>
        <v>NO</v>
      </c>
      <c r="BM21" s="11" t="str">
        <f>IFERROR(IF(VLOOKUP(B21,'[2]RECARGO NOCTURNO'!C$6:Q$26,15,FALSE)=BK21,"OK","MAL"),"NO")</f>
        <v>NO</v>
      </c>
      <c r="BN21" s="18" cm="1">
        <f t="array" ref="BN21">SUMPRODUCT(($M$2:$AI$2="Do.")*((M21:AI21=6)+(M21:AI21=7)+(M21:AI21=8)+(M21:AI21=10)+(M21:AI21=12))+(($M$2:$AI$2&lt;&gt;"Do.")*((M21:AI21=6)+(M21:AI21=7)+(M21:AI21=8)+(M21:AI21=10)+(M21:AI21=12))))*7
+SUMPRODUCT(($M$2:$AI$2="Do.")*((M21:AI21=9))+(($M$2:$AI$2&lt;&gt;"Do.")*((M21:AI21=9))))*13</f>
        <v>0</v>
      </c>
      <c r="BO21" s="20" cm="1">
        <f t="array" ref="BO21">SUMPRODUCT(($M$2:$AI$2&lt;&gt;"Do.")*(M21:AI21=5))*3
+SUMPRODUCT(($M$2:$AI$2&lt;&gt;"Do.")*(M21:AI21=4)*1.5
)</f>
        <v>4.5</v>
      </c>
      <c r="BP21" s="11" t="str">
        <f>IFERROR(IF((VLOOKUP(B21,[3]DOMINICALES!D$7:J$30,7,FALSE))
+(VLOOKUP(B21,'[3]HORAS EXTRAS NOCTURNAS FESTIVAS'!D$7:J$30,7,FALSE))=BN21,"OK","MAL"),"NO")</f>
        <v>OK</v>
      </c>
      <c r="BQ21" s="11" t="str">
        <f>IFERROR(IF(VLOOKUP(B21,'[3]RECARGO NOCTURNO'!C$6:P$29,14,FALSE)=BO21,"OK","MAL"),"NO")</f>
        <v>OK</v>
      </c>
    </row>
    <row r="22" spans="1:69" ht="18" customHeight="1">
      <c r="A22" s="4">
        <v>20</v>
      </c>
      <c r="B22" s="22" t="s">
        <v>74</v>
      </c>
      <c r="C22" s="6" t="s">
        <v>35</v>
      </c>
      <c r="D22" s="6">
        <v>0.52083333333333337</v>
      </c>
      <c r="E22" s="49" t="s">
        <v>51</v>
      </c>
      <c r="F22" s="8"/>
      <c r="G22" s="41" t="s">
        <v>51</v>
      </c>
      <c r="H22" s="6" t="s">
        <v>43</v>
      </c>
      <c r="I22" s="6">
        <v>0.5625</v>
      </c>
      <c r="J22" s="45" t="s">
        <v>51</v>
      </c>
      <c r="K22" s="45" t="s">
        <v>51</v>
      </c>
      <c r="L22" s="45" t="s">
        <v>51</v>
      </c>
      <c r="M22" s="45" t="s">
        <v>51</v>
      </c>
      <c r="N22" s="42"/>
      <c r="O22" s="41" t="s">
        <v>51</v>
      </c>
      <c r="P22" s="45" t="s">
        <v>51</v>
      </c>
      <c r="Q22" s="8"/>
      <c r="R22" s="41" t="s">
        <v>51</v>
      </c>
      <c r="S22" s="6" t="s">
        <v>57</v>
      </c>
      <c r="T22" s="6"/>
      <c r="U22" s="49" t="s">
        <v>51</v>
      </c>
      <c r="V22" s="49" t="s">
        <v>51</v>
      </c>
      <c r="W22" s="49" t="s">
        <v>51</v>
      </c>
      <c r="X22" s="49" t="s">
        <v>51</v>
      </c>
      <c r="Y22" s="49" t="s">
        <v>51</v>
      </c>
      <c r="Z22" s="49" t="s">
        <v>51</v>
      </c>
      <c r="AA22" s="8"/>
      <c r="AB22" s="41" t="s">
        <v>51</v>
      </c>
      <c r="AC22" s="12"/>
      <c r="AD22" s="41" t="s">
        <v>51</v>
      </c>
      <c r="AE22" s="17" t="s">
        <v>47</v>
      </c>
      <c r="AF22" s="50"/>
      <c r="AG22" s="49" t="s">
        <v>51</v>
      </c>
      <c r="AH22" s="49" t="s">
        <v>51</v>
      </c>
      <c r="AI22" s="49" t="s">
        <v>51</v>
      </c>
      <c r="AJ22" s="49" t="s">
        <v>51</v>
      </c>
      <c r="AK22" s="49" t="s">
        <v>51</v>
      </c>
      <c r="AL22" s="8"/>
      <c r="AM22" s="9" t="s">
        <v>51</v>
      </c>
      <c r="AN22" s="6" t="s">
        <v>56</v>
      </c>
      <c r="AO22" s="6"/>
      <c r="AP22" s="49" t="s">
        <v>51</v>
      </c>
      <c r="AQ22" s="49" t="s">
        <v>51</v>
      </c>
      <c r="AR22" s="49" t="s">
        <v>51</v>
      </c>
      <c r="AS22" s="49" t="s">
        <v>51</v>
      </c>
      <c r="AT22" s="49" t="s">
        <v>51</v>
      </c>
      <c r="AU22" s="49" t="s">
        <v>51</v>
      </c>
      <c r="AV22" s="8"/>
      <c r="AW22" s="9" t="s">
        <v>51</v>
      </c>
      <c r="AX22" s="17" t="s">
        <v>36</v>
      </c>
      <c r="AY22" s="17"/>
      <c r="AZ22" s="11" t="s">
        <v>51</v>
      </c>
      <c r="BA22" s="18" cm="1">
        <f t="array" ref="BA22">SUMPRODUCT((E22:AZ22=1)+(E22:AZ22=2))</f>
        <v>0</v>
      </c>
      <c r="BB22" s="18">
        <f t="shared" ref="BB22:BB26" si="5">COUNTIF(E22:AZ22,3)</f>
        <v>0</v>
      </c>
      <c r="BC22" s="18" cm="1">
        <f t="array" ref="BC22">SUMPRODUCT((E22:AZ22=4)+(E22:AZ22=5))</f>
        <v>0</v>
      </c>
      <c r="BD22" s="18">
        <f t="shared" ref="BD22:BD26" si="6">COUNTIF(E22:AZ22,"C")</f>
        <v>0</v>
      </c>
      <c r="BE22" s="18">
        <f t="shared" ref="BE22:BE26" si="7">COUNTIF(E22:AZ22,"V")</f>
        <v>0</v>
      </c>
      <c r="BF22" s="18">
        <f t="shared" ref="BF22:BF26" si="8">COUNTIF(E22:AZ22,"I")</f>
        <v>0</v>
      </c>
      <c r="BG22" s="18">
        <f t="shared" ref="BG22:BG26" si="9">COUNTIF(E22:AZ22,"O")+COUNTIF(E22:AZ22,"N")+COUNTIF(E22:AZ22,"R")+COUNTIF(E22:AZ22,"P")</f>
        <v>31</v>
      </c>
      <c r="BH22" s="23" cm="1">
        <f t="array" ref="BH22">SUMPRODUCT(($E$2:$AZ$2="Do.")*((E22:AZ22=6)+(E22:AZ22=7)+(E22:AZ22=8)+(E22:AZ22=10)+(E22:AZ22=12))+(($E$2:$AZ$2&lt;&gt;"Do.")*((E22:AZ22=6)+(E22:AZ22=7)+(E22:AZ22=8)+(E22:AZ22=10)+(E22:AZ22=12))))*7+SUMPRODUCT(($E$2:$AZ$2="Do.")*((E22:AZ22=9))+(($E$2:$AZ$2&lt;&gt;"Do.")*((E22:AZ22=9))))*13</f>
        <v>0</v>
      </c>
      <c r="BI22" s="18" cm="1">
        <f t="array" ref="BI22">SUMPRODUCT(($E$2:$AZ$2="Do.")*((E22:AZ22=6)+(E22:AZ22=7)+(E22:AZ22=8)+(E22:AZ22=9)+(E22:AZ22=10)+(E22:AZ22=12)))</f>
        <v>0</v>
      </c>
      <c r="BJ22" s="18" cm="1">
        <f t="array" ref="BJ22">SUMPRODUCT(([1]Julio!$AL$2:$AW$2="Do.")*(([1]Julio!AL22:AW22=6)+([1]Julio!AL22:AW22=7)+([1]Julio!AL22:AW22=8)+([1]Julio!AL22:AW22=10)+([1]Julio!AL22:AW22=12))+(([1]Julio!$AL$2:$AW$2&lt;&gt;"Do.")*(([1]Julio!AL22:AW22=6)+([1]Julio!AL22:AW22=7)+([1]Julio!AL22:AW22=8)+([1]Julio!AL22:AW22=10)+([1]Julio!AL22:AW22=12))))*7
+SUMPRODUCT(([1]Julio!$AL$2:$AW$2="Do.")*(([1]Julio!AL22:AW22=9))+(([1]Julio!$AL$2:$AW$2&lt;&gt;"Do.")*(([1]Julio!AL22:AW22=9))))*13
+SUMPRODUCT(($E$2:$L$2="Do.")*((E22:L22=6)+(E22:L22=7)+(E22:L22=8)+(E22:L22=10)+(E22:L22=12))+(($E$2:$L$2&lt;&gt;"Do.")*((E22:L22=6)+(E22:L22=7)+(E22:L22=8)+(E22:L22=10)+(E22:L22=12))))*7
+SUMPRODUCT(($E$2:$L$2="Do.")*((E22:L22=9))+(($E$2:$L$2&lt;&gt;"Do.")*((E22:L22=9))))*13</f>
        <v>13</v>
      </c>
      <c r="BK22" s="20" cm="1">
        <f t="array" ref="BK22">SUMPRODUCT(($E$2:L$2&lt;&gt;"Do.")*(E22:L22=5))*3
+SUMPRODUCT(($E$2:$L$2&lt;&gt;"Do.")*(E22:L22=4)*ISNUMBER(MATCH($E$2:$L$2,{"Ma.";"Lu.";"Mi.";"Ju.";"Vi.";"Sá."},0)))*1.5</f>
        <v>0</v>
      </c>
      <c r="BL22" s="11" t="str">
        <f>IFERROR(IF((VLOOKUP(B22,[2]DOMINICALES!D$7:H$27,5,FALSE))
+(VLOOKUP(B22,'[2]HORAS EXTRAS NOCTURNAS FESTIVAS'!D$7:H$27,5,FALSE))=BJ22,"OK","MAL"),"NO")</f>
        <v>NO</v>
      </c>
      <c r="BM22" s="11" t="str">
        <f>IFERROR(IF(VLOOKUP(B22,'[2]RECARGO NOCTURNO'!C$6:Q$26,15,FALSE)=BK22,"OK","MAL"),"NO")</f>
        <v>NO</v>
      </c>
      <c r="BN22" s="18" cm="1">
        <f t="array" ref="BN22">SUMPRODUCT(($M$2:$AI$2="Do.")*((M22:AI22=6)+(M22:AI22=7)+(M22:AI22=8)+(M22:AI22=10)+(M22:AI22=12))+(($M$2:$AI$2&lt;&gt;"Do.")*((M22:AI22=6)+(M22:AI22=7)+(M22:AI22=8)+(M22:AI22=10)+(M22:AI22=12))))*7
+SUMPRODUCT(($M$2:$AI$2="Do.")*((M22:AI22=9))+(($M$2:$AI$2&lt;&gt;"Do.")*((M22:AI22=9))))*13</f>
        <v>0</v>
      </c>
      <c r="BO22" s="20" cm="1">
        <f t="array" ref="BO22">SUMPRODUCT(($M$2:$AI$2&lt;&gt;"Do.")*(M22:AI22=5))*3
+SUMPRODUCT(($M$2:$AI$2&lt;&gt;"Do.")*(M22:AI22=4)*1.5
)</f>
        <v>0</v>
      </c>
      <c r="BP22" s="11" t="str">
        <f>IFERROR(IF((VLOOKUP(B22,[3]DOMINICALES!D$7:J$30,7,FALSE))
+(VLOOKUP(B22,'[3]HORAS EXTRAS NOCTURNAS FESTIVAS'!D$7:J$30,7,FALSE))=BN22,"OK","MAL"),"NO")</f>
        <v>NO</v>
      </c>
      <c r="BQ22" s="11" t="str">
        <f>IFERROR(IF(VLOOKUP(B22,'[3]RECARGO NOCTURNO'!C$6:P$29,14,FALSE)=BO22,"OK","MAL"),"NO")</f>
        <v>NO</v>
      </c>
    </row>
    <row r="23" spans="1:69" ht="18" customHeight="1">
      <c r="A23" s="4">
        <v>21</v>
      </c>
      <c r="B23" s="51" t="s">
        <v>75</v>
      </c>
      <c r="C23" s="52"/>
      <c r="D23" s="52"/>
      <c r="E23" s="53">
        <v>3</v>
      </c>
      <c r="F23" s="8"/>
      <c r="G23" s="9" t="s">
        <v>28</v>
      </c>
      <c r="H23" s="52"/>
      <c r="I23" s="52"/>
      <c r="J23" s="53">
        <v>3</v>
      </c>
      <c r="K23" s="53">
        <v>3</v>
      </c>
      <c r="L23" s="53">
        <v>3</v>
      </c>
      <c r="M23" s="53">
        <v>3</v>
      </c>
      <c r="N23" s="12"/>
      <c r="O23" s="13" t="s">
        <v>28</v>
      </c>
      <c r="P23" s="53" t="s">
        <v>28</v>
      </c>
      <c r="Q23" s="8"/>
      <c r="R23" s="9" t="s">
        <v>28</v>
      </c>
      <c r="S23" s="52"/>
      <c r="T23" s="52"/>
      <c r="U23" s="53">
        <v>3</v>
      </c>
      <c r="V23" s="53">
        <v>3</v>
      </c>
      <c r="W23" s="53">
        <v>3</v>
      </c>
      <c r="X23" s="53">
        <v>3</v>
      </c>
      <c r="Y23" s="53">
        <v>3</v>
      </c>
      <c r="Z23" s="53">
        <v>3</v>
      </c>
      <c r="AA23" s="8"/>
      <c r="AB23" s="9" t="s">
        <v>28</v>
      </c>
      <c r="AC23" s="12"/>
      <c r="AD23" s="9" t="s">
        <v>28</v>
      </c>
      <c r="AE23" s="52"/>
      <c r="AF23" s="52"/>
      <c r="AG23" s="53">
        <v>3</v>
      </c>
      <c r="AH23" s="53">
        <v>3</v>
      </c>
      <c r="AI23" s="53">
        <v>3</v>
      </c>
      <c r="AJ23" s="53">
        <v>3</v>
      </c>
      <c r="AK23" s="53">
        <v>3</v>
      </c>
      <c r="AL23" s="8"/>
      <c r="AM23" s="9" t="s">
        <v>28</v>
      </c>
      <c r="AN23" s="52"/>
      <c r="AO23" s="52"/>
      <c r="AP23" s="53">
        <v>3</v>
      </c>
      <c r="AQ23" s="53">
        <v>3</v>
      </c>
      <c r="AR23" s="53">
        <v>3</v>
      </c>
      <c r="AS23" s="53">
        <v>3</v>
      </c>
      <c r="AT23" s="53">
        <v>3</v>
      </c>
      <c r="AU23" s="53">
        <v>3</v>
      </c>
      <c r="AV23" s="8"/>
      <c r="AW23" s="9" t="s">
        <v>28</v>
      </c>
      <c r="AX23" s="54"/>
      <c r="AY23" s="54"/>
      <c r="AZ23" s="53">
        <v>3</v>
      </c>
      <c r="BA23" s="18" cm="1">
        <f t="array" ref="BA23">SUMPRODUCT((E23:AZ23=1)+(E23:AZ23=2))</f>
        <v>0</v>
      </c>
      <c r="BB23" s="18">
        <f t="shared" si="5"/>
        <v>23</v>
      </c>
      <c r="BC23" s="18" cm="1">
        <f t="array" ref="BC23">SUMPRODUCT((E23:AZ23=4)+(E23:AZ23=5))</f>
        <v>0</v>
      </c>
      <c r="BD23" s="18">
        <f t="shared" si="6"/>
        <v>0</v>
      </c>
      <c r="BE23" s="18">
        <f t="shared" si="7"/>
        <v>0</v>
      </c>
      <c r="BF23" s="18">
        <f t="shared" si="8"/>
        <v>0</v>
      </c>
      <c r="BG23" s="18">
        <f t="shared" si="9"/>
        <v>0</v>
      </c>
      <c r="BH23" s="23" cm="1">
        <f t="array" ref="BH23">SUMPRODUCT(($E$2:$AZ$2="Do.")*((E23:AZ23=6)+(E23:AZ23=7)+(E23:AZ23=8)+(E23:AZ23=10)+(E23:AZ23=12))+(($E$2:$AZ$2&lt;&gt;"Do.")*((E23:AZ23=6)+(E23:AZ23=7)+(E23:AZ23=8)+(E23:AZ23=10)+(E23:AZ23=12))))*7+SUMPRODUCT(($E$2:$AZ$2="Do.")*((E23:AZ23=9))+(($E$2:$AZ$2&lt;&gt;"Do.")*((E23:AZ23=9))))*13</f>
        <v>0</v>
      </c>
      <c r="BI23" s="18" cm="1">
        <f t="array" ref="BI23">SUMPRODUCT(($E$2:$AZ$2="Do.")*((E23:AZ23=6)+(E23:AZ23=7)+(E23:AZ23=8)+(E23:AZ23=9)+(E23:AZ23=10)+(E23:AZ23=12)))</f>
        <v>0</v>
      </c>
      <c r="BJ23" s="18" cm="1">
        <f t="array" ref="BJ23">SUMPRODUCT(([1]Julio!$AL$2:$AW$2="Do.")*(([1]Julio!AL19:AW19=6)+([1]Julio!AL19:AW19=7)+([1]Julio!AL19:AW19=8)+([1]Julio!AL19:AW19=10)+([1]Julio!AL19:AW19=12))+(([1]Julio!$AL$2:$AW$2&lt;&gt;"Do.")*(([1]Julio!AL19:AW19=6)+([1]Julio!AL19:AW19=7)+([1]Julio!AL19:AW19=8)+([1]Julio!AL19:AW19=10)+([1]Julio!AL19:AW19=12))))*7
+SUMPRODUCT(([1]Julio!$AL$2:$AW$2="Do.")*(([1]Julio!AL19:AW19=9))+(([1]Julio!$AL$2:$AW$2&lt;&gt;"Do.")*(([1]Julio!AL19:AW19=9))))*13
+SUMPRODUCT(($E$2:$L$2="Do.")*((E23:L23=6)+(E23:L23=7)+(E23:L23=8)+(E23:L23=10)+(E23:L23=12))+(($E$2:$L$2&lt;&gt;"Do.")*((E23:L23=6)+(E23:L23=7)+(E23:L23=8)+(E23:L23=10)+(E23:L23=12))))*7
+SUMPRODUCT(($E$2:$L$2="Do.")*((E23:L23=9))+(($E$2:$L$2&lt;&gt;"Do.")*((E23:L23=9))))*13</f>
        <v>0</v>
      </c>
      <c r="BK23" s="20" cm="1">
        <f t="array" ref="BK23">SUMPRODUCT(($E$2:L$2&lt;&gt;"Do.")*(E23:L23=5))*3
+SUMPRODUCT(($E$2:$L$2&lt;&gt;"Do.")*(E23:L23=4)*ISNUMBER(MATCH($E$2:$L$2,{"Ma.";"Lu.";"Mi.";"Ju.";"Vi.";"Sá."},0)))*1.5
+SUMPRODUCT(([1]Julio!$AL$2:$AW$2&lt;&gt;"Do.")*([1]Julio!AL19:AW19=5))*3
+SUMPRODUCT(([1]Julio!$AL$2:$AW$2&lt;&gt;"Do.")*([1]Julio!AL19:AW19=4)*ISNUMBER(MATCH([1]Julio!$AL$2:$AW$2,{"Ma.";"Lu.";"Mi.";"Ju.";"Vi.";"Sá."},0)))*1.5</f>
        <v>0</v>
      </c>
      <c r="BL23" s="11" t="str">
        <f>IFERROR(IF((VLOOKUP(B23,[2]DOMINICALES!D$7:H$27,5,FALSE))
+(VLOOKUP(B23,'[2]HORAS EXTRAS NOCTURNAS FESTIVAS'!D$7:H$27,5,FALSE))=BJ23,"OK","MAL"),"NO")</f>
        <v>OK</v>
      </c>
      <c r="BM23" s="11" t="str">
        <f>IFERROR(IF(VLOOKUP(B23,'[2]RECARGO NOCTURNO'!C$6:Q$26,15,FALSE)=BK23,"OK","MAL"),"NO")</f>
        <v>OK</v>
      </c>
      <c r="BN23" s="18" cm="1">
        <f t="array" ref="BN23">SUMPRODUCT(($M$2:$AI$2="Do.")*((M23:AI23=6)+(M23:AI23=7)+(M23:AI23=8)+(M23:AI23=10)+(M23:AI23=12))+(($M$2:$AI$2&lt;&gt;"Do.")*((M23:AI23=6)+(M23:AI23=7)+(M23:AI23=8)+(M23:AI23=10)+(M23:AI23=12))))*7
+SUMPRODUCT(($M$2:$AI$2="Do.")*((M23:AI23=9))+(($M$2:$AI$2&lt;&gt;"Do.")*((M23:AI23=9))))*13</f>
        <v>0</v>
      </c>
      <c r="BO23" s="20" cm="1">
        <f t="array" ref="BO23">SUMPRODUCT(($M$2:$AI$2&lt;&gt;"Do.")*(M23:AI23=5))*3
+SUMPRODUCT(($M$2:$AI$2&lt;&gt;"Do.")*(M23:AI23=4)*1.5
)</f>
        <v>0</v>
      </c>
      <c r="BP23" s="11" t="str">
        <f>IFERROR(IF((VLOOKUP(B23,[3]DOMINICALES!D$7:J$30,7,FALSE))
+(VLOOKUP(B23,'[3]HORAS EXTRAS NOCTURNAS FESTIVAS'!D$7:J$30,7,FALSE))=BN23,"OK","MAL"),"NO")</f>
        <v>OK</v>
      </c>
      <c r="BQ23" s="11" t="str">
        <f>IFERROR(IF(VLOOKUP(B23,'[3]RECARGO NOCTURNO'!C$6:P$29,14,FALSE)=BO23,"OK","MAL"),"NO")</f>
        <v>OK</v>
      </c>
    </row>
    <row r="24" spans="1:69" ht="18" customHeight="1">
      <c r="A24" s="4">
        <v>22</v>
      </c>
      <c r="B24" s="51" t="s">
        <v>76</v>
      </c>
      <c r="C24" s="52"/>
      <c r="D24" s="52"/>
      <c r="E24" s="53">
        <v>1</v>
      </c>
      <c r="F24" s="8"/>
      <c r="G24" s="9" t="s">
        <v>28</v>
      </c>
      <c r="H24" s="52"/>
      <c r="I24" s="52"/>
      <c r="J24" s="53">
        <v>1</v>
      </c>
      <c r="K24" s="53">
        <v>1</v>
      </c>
      <c r="L24" s="53">
        <v>1</v>
      </c>
      <c r="M24" s="53">
        <v>1</v>
      </c>
      <c r="N24" s="12"/>
      <c r="O24" s="13" t="s">
        <v>28</v>
      </c>
      <c r="P24" s="53">
        <v>5</v>
      </c>
      <c r="Q24" s="8"/>
      <c r="R24" s="9">
        <v>9</v>
      </c>
      <c r="S24" s="52"/>
      <c r="T24" s="52"/>
      <c r="U24" s="53">
        <v>3</v>
      </c>
      <c r="V24" s="53">
        <v>3</v>
      </c>
      <c r="W24" s="53">
        <v>3</v>
      </c>
      <c r="X24" s="53">
        <v>3</v>
      </c>
      <c r="Y24" s="53">
        <v>3</v>
      </c>
      <c r="Z24" s="53">
        <v>1</v>
      </c>
      <c r="AA24" s="8"/>
      <c r="AB24" s="9" t="s">
        <v>28</v>
      </c>
      <c r="AC24" s="12"/>
      <c r="AD24" s="13">
        <v>9</v>
      </c>
      <c r="AE24" s="52"/>
      <c r="AF24" s="52"/>
      <c r="AG24" s="53">
        <v>5</v>
      </c>
      <c r="AH24" s="53">
        <v>5</v>
      </c>
      <c r="AI24" s="53">
        <v>5</v>
      </c>
      <c r="AJ24" s="53">
        <v>5</v>
      </c>
      <c r="AK24" s="53">
        <v>1</v>
      </c>
      <c r="AL24" s="8"/>
      <c r="AM24" s="9" t="s">
        <v>28</v>
      </c>
      <c r="AN24" s="52"/>
      <c r="AO24" s="52"/>
      <c r="AP24" s="53">
        <v>1</v>
      </c>
      <c r="AQ24" s="53">
        <v>1</v>
      </c>
      <c r="AR24" s="53">
        <v>1</v>
      </c>
      <c r="AS24" s="53">
        <v>1</v>
      </c>
      <c r="AT24" s="53">
        <v>1</v>
      </c>
      <c r="AU24" s="53">
        <v>1</v>
      </c>
      <c r="AV24" s="8"/>
      <c r="AW24" s="9">
        <v>9</v>
      </c>
      <c r="AX24" s="54"/>
      <c r="AY24" s="54"/>
      <c r="AZ24" s="53">
        <v>3</v>
      </c>
      <c r="BA24" s="18" cm="1">
        <f t="array" ref="BA24">SUMPRODUCT((E24:AZ24=1)+(E24:AZ24=2))</f>
        <v>13</v>
      </c>
      <c r="BB24" s="18">
        <f t="shared" si="5"/>
        <v>6</v>
      </c>
      <c r="BC24" s="18" cm="1">
        <f t="array" ref="BC24">SUMPRODUCT((E24:AZ24=4)+(E24:AZ24=5))</f>
        <v>5</v>
      </c>
      <c r="BD24" s="18">
        <f t="shared" si="6"/>
        <v>0</v>
      </c>
      <c r="BE24" s="18">
        <f t="shared" si="7"/>
        <v>0</v>
      </c>
      <c r="BF24" s="18">
        <f t="shared" si="8"/>
        <v>0</v>
      </c>
      <c r="BG24" s="18">
        <f t="shared" si="9"/>
        <v>0</v>
      </c>
      <c r="BH24" s="23" cm="1">
        <f t="array" ref="BH24">SUMPRODUCT(($E$2:$AZ$2="Do.")*((E24:AZ24=6)+(E24:AZ24=7)+(E24:AZ24=8)+(E24:AZ24=10)+(E24:AZ24=12))+(($E$2:$AZ$2&lt;&gt;"Do.")*((E24:AZ24=6)+(E24:AZ24=7)+(E24:AZ24=8)+(E24:AZ24=10)+(E24:AZ24=12))))*7+SUMPRODUCT(($E$2:$AZ$2="Do.")*((E24:AZ24=9))+(($E$2:$AZ$2&lt;&gt;"Do.")*((E24:AZ24=9))))*13</f>
        <v>39</v>
      </c>
      <c r="BI24" s="18" cm="1">
        <f t="array" ref="BI24">SUMPRODUCT(($E$2:$AZ$2="Do.")*((E24:AZ24=6)+(E24:AZ24=7)+(E24:AZ24=8)+(E24:AZ24=9)+(E24:AZ24=10)+(E24:AZ24=12)))</f>
        <v>2</v>
      </c>
      <c r="BJ24" s="18" cm="1">
        <f t="array" ref="BJ24">SUMPRODUCT(([1]Julio!$AL$2:$AW$2="Do.")*(([1]Julio!AL20:AW20=6)+([1]Julio!AL20:AW20=7)+([1]Julio!AL20:AW20=8)+([1]Julio!AL20:AW20=10)+([1]Julio!AL20:AW20=12))+(([1]Julio!$AL$2:$AW$2&lt;&gt;"Do.")*(([1]Julio!AL20:AW20=6)+([1]Julio!AL20:AW20=7)+([1]Julio!AL20:AW20=8)+([1]Julio!AL20:AW20=10)+([1]Julio!AL20:AW20=12))))*7
+SUMPRODUCT(([1]Julio!$AL$2:$AW$2="Do.")*(([1]Julio!AL20:AW20=9))+(([1]Julio!$AL$2:$AW$2&lt;&gt;"Do.")*(([1]Julio!AL20:AW20=9))))*13
+SUMPRODUCT(($E$2:$L$2="Do.")*((E24:L24=6)+(E24:L24=7)+(E24:L24=8)+(E24:L24=10)+(E24:L24=12))+(($E$2:$L$2&lt;&gt;"Do.")*((E24:L24=6)+(E24:L24=7)+(E24:L24=8)+(E24:L24=10)+(E24:L24=12))))*7
+SUMPRODUCT(($E$2:$L$2="Do.")*((E24:L24=9))+(($E$2:$L$2&lt;&gt;"Do.")*((E24:L24=9))))*13</f>
        <v>0</v>
      </c>
      <c r="BK24" s="20" cm="1">
        <f t="array" ref="BK24">SUMPRODUCT(($E$2:L$2&lt;&gt;"Do.")*(E24:L24=5))*3
+SUMPRODUCT(($E$2:$L$2&lt;&gt;"Do.")*(E24:L24=4)*ISNUMBER(MATCH($E$2:$L$2,{"Ma.";"Lu.";"Mi.";"Ju.";"Vi.";"Sá."},0)))*1.5
+SUMPRODUCT(([1]Julio!$AL$2:$AW$2&lt;&gt;"Do.")*([1]Julio!AL20:AW20=5))*3
+SUMPRODUCT(([1]Julio!$AL$2:$AW$2&lt;&gt;"Do.")*([1]Julio!AL20:AW20=4)*ISNUMBER(MATCH([1]Julio!$AL$2:$AW$2,{"Ma.";"Lu.";"Mi.";"Ju.";"Vi.";"Sá."},0)))*1.5</f>
        <v>15</v>
      </c>
      <c r="BL24" s="11" t="str">
        <f>IFERROR(IF((VLOOKUP(B24,[2]DOMINICALES!D$7:H$27,5,FALSE))
+(VLOOKUP(B24,'[2]HORAS EXTRAS NOCTURNAS FESTIVAS'!D$7:H$27,5,FALSE))=BJ24,"OK","MAL"),"NO")</f>
        <v>OK</v>
      </c>
      <c r="BM24" s="11" t="str">
        <f>IFERROR(IF(VLOOKUP(B24,'[2]RECARGO NOCTURNO'!C$6:Q$26,15,FALSE)=BK24,"OK","MAL"),"NO")</f>
        <v>OK</v>
      </c>
      <c r="BN24" s="18" cm="1">
        <f t="array" ref="BN24">SUMPRODUCT(($M$2:$AI$2="Do.")*((M24:AI24=6)+(M24:AI24=7)+(M24:AI24=8)+(M24:AI24=10)+(M24:AI24=12))+(($M$2:$AI$2&lt;&gt;"Do.")*((M24:AI24=6)+(M24:AI24=7)+(M24:AI24=8)+(M24:AI24=10)+(M24:AI24=12))))*7
+SUMPRODUCT(($M$2:$AI$2="Do.")*((M24:AI24=9))+(($M$2:$AI$2&lt;&gt;"Do.")*((M24:AI24=9))))*13</f>
        <v>26</v>
      </c>
      <c r="BO24" s="20" cm="1">
        <f t="array" ref="BO24">SUMPRODUCT(($M$2:$AI$2&lt;&gt;"Do.")*(M24:AI24=5))*3
+SUMPRODUCT(($M$2:$AI$2&lt;&gt;"Do.")*(M24:AI24=4)*1.5
)</f>
        <v>12</v>
      </c>
      <c r="BP24" s="11" t="str">
        <f>IFERROR(IF((VLOOKUP(B24,[3]DOMINICALES!D$7:J$30,7,FALSE))
+(VLOOKUP(B24,'[3]HORAS EXTRAS NOCTURNAS FESTIVAS'!D$7:J$30,7,FALSE))=BN24,"OK","MAL"),"NO")</f>
        <v>OK</v>
      </c>
      <c r="BQ24" s="11" t="str">
        <f>IFERROR(IF(VLOOKUP(B24,'[3]RECARGO NOCTURNO'!C$6:P$29,14,FALSE)=BO24,"OK","MAL"),"NO")</f>
        <v>OK</v>
      </c>
    </row>
    <row r="25" spans="1:69" ht="18" customHeight="1">
      <c r="A25" s="4">
        <v>23</v>
      </c>
      <c r="B25" s="51" t="s">
        <v>77</v>
      </c>
      <c r="C25" s="52"/>
      <c r="D25" s="52"/>
      <c r="E25" s="53">
        <v>5</v>
      </c>
      <c r="F25" s="8"/>
      <c r="G25" s="9">
        <v>9</v>
      </c>
      <c r="H25" s="52"/>
      <c r="I25" s="52"/>
      <c r="J25" s="53">
        <v>3</v>
      </c>
      <c r="K25" s="53">
        <v>3</v>
      </c>
      <c r="L25" s="53">
        <v>3</v>
      </c>
      <c r="M25" s="53">
        <v>3</v>
      </c>
      <c r="N25" s="12"/>
      <c r="O25" s="13">
        <v>9</v>
      </c>
      <c r="P25" s="53">
        <v>1</v>
      </c>
      <c r="Q25" s="8"/>
      <c r="R25" s="9" t="s">
        <v>28</v>
      </c>
      <c r="S25" s="52"/>
      <c r="T25" s="52"/>
      <c r="U25" s="53" t="s">
        <v>29</v>
      </c>
      <c r="V25" s="53" t="s">
        <v>29</v>
      </c>
      <c r="W25" s="53" t="s">
        <v>29</v>
      </c>
      <c r="X25" s="53" t="s">
        <v>29</v>
      </c>
      <c r="Y25" s="53" t="s">
        <v>29</v>
      </c>
      <c r="Z25" s="53" t="s">
        <v>29</v>
      </c>
      <c r="AA25" s="8"/>
      <c r="AB25" s="9" t="s">
        <v>29</v>
      </c>
      <c r="AC25" s="12"/>
      <c r="AD25" s="13" t="s">
        <v>29</v>
      </c>
      <c r="AE25" s="52"/>
      <c r="AF25" s="52"/>
      <c r="AG25" s="53" t="s">
        <v>29</v>
      </c>
      <c r="AH25" s="53" t="s">
        <v>29</v>
      </c>
      <c r="AI25" s="53" t="s">
        <v>29</v>
      </c>
      <c r="AJ25" s="53">
        <v>1</v>
      </c>
      <c r="AK25" s="53" t="s">
        <v>28</v>
      </c>
      <c r="AL25" s="8"/>
      <c r="AM25" s="9">
        <v>9</v>
      </c>
      <c r="AN25" s="52"/>
      <c r="AO25" s="52"/>
      <c r="AP25" s="53">
        <v>3</v>
      </c>
      <c r="AQ25" s="53">
        <v>3</v>
      </c>
      <c r="AR25" s="53">
        <v>3</v>
      </c>
      <c r="AS25" s="53">
        <v>3</v>
      </c>
      <c r="AT25" s="53">
        <v>3</v>
      </c>
      <c r="AU25" s="53" t="s">
        <v>28</v>
      </c>
      <c r="AV25" s="8"/>
      <c r="AW25" s="9" t="s">
        <v>28</v>
      </c>
      <c r="AX25" s="54"/>
      <c r="AY25" s="54"/>
      <c r="AZ25" s="53">
        <v>5</v>
      </c>
      <c r="BA25" s="18" cm="1">
        <f t="array" ref="BA25">SUMPRODUCT((E25:AZ25=1)+(E25:AZ25=2))</f>
        <v>2</v>
      </c>
      <c r="BB25" s="18">
        <f t="shared" si="5"/>
        <v>9</v>
      </c>
      <c r="BC25" s="18" cm="1">
        <f t="array" ref="BC25">SUMPRODUCT((E25:AZ25=4)+(E25:AZ25=5))</f>
        <v>2</v>
      </c>
      <c r="BD25" s="18">
        <f t="shared" si="6"/>
        <v>0</v>
      </c>
      <c r="BE25" s="18">
        <f t="shared" si="7"/>
        <v>11</v>
      </c>
      <c r="BF25" s="18">
        <f t="shared" si="8"/>
        <v>0</v>
      </c>
      <c r="BG25" s="18">
        <f t="shared" si="9"/>
        <v>0</v>
      </c>
      <c r="BH25" s="23" cm="1">
        <f t="array" ref="BH25">SUMPRODUCT(($E$2:$AZ$2="Do.")*((E25:AZ25=6)+(E25:AZ25=7)+(E25:AZ25=8)+(E25:AZ25=10)+(E25:AZ25=12))+(($E$2:$AZ$2&lt;&gt;"Do.")*((E25:AZ25=6)+(E25:AZ25=7)+(E25:AZ25=8)+(E25:AZ25=10)+(E25:AZ25=12))))*7+SUMPRODUCT(($E$2:$AZ$2="Do.")*((E25:AZ25=9))+(($E$2:$AZ$2&lt;&gt;"Do.")*((E25:AZ25=9))))*13</f>
        <v>39</v>
      </c>
      <c r="BI25" s="18" cm="1">
        <f t="array" ref="BI25">SUMPRODUCT(($E$2:$AZ$2="Do.")*((E25:AZ25=6)+(E25:AZ25=7)+(E25:AZ25=8)+(E25:AZ25=9)+(E25:AZ25=10)+(E25:AZ25=12)))</f>
        <v>2</v>
      </c>
      <c r="BJ25" s="18" cm="1">
        <f t="array" ref="BJ25">SUMPRODUCT(([1]Julio!$AL$2:$AW$2="Do.")*(([1]Julio!AL21:AW21=6)+([1]Julio!AL21:AW21=7)+([1]Julio!AL21:AW21=8)+([1]Julio!AL21:AW21=10)+([1]Julio!AL21:AW21=12))+(([1]Julio!$AL$2:$AW$2&lt;&gt;"Do.")*(([1]Julio!AL21:AW21=6)+([1]Julio!AL21:AW21=7)+([1]Julio!AL21:AW21=8)+([1]Julio!AL21:AW21=10)+([1]Julio!AL21:AW21=12))))*7
+SUMPRODUCT(([1]Julio!$AL$2:$AW$2="Do.")*(([1]Julio!AL21:AW21=9))+(([1]Julio!$AL$2:$AW$2&lt;&gt;"Do.")*(([1]Julio!AL21:AW21=9))))*13
+SUMPRODUCT(($E$2:$L$2="Do.")*((E25:L25=6)+(E25:L25=7)+(E25:L25=8)+(E25:L25=10)+(E25:L25=12))+(($E$2:$L$2&lt;&gt;"Do.")*((E25:L25=6)+(E25:L25=7)+(E25:L25=8)+(E25:L25=10)+(E25:L25=12))))*7
+SUMPRODUCT(($E$2:$L$2="Do.")*((E25:L25=9))+(($E$2:$L$2&lt;&gt;"Do.")*((E25:L25=9))))*13</f>
        <v>13</v>
      </c>
      <c r="BK25" s="20" cm="1">
        <f t="array" ref="BK25">SUMPRODUCT(($E$2:L$2&lt;&gt;"Do.")*(E25:L25=5))*3
+SUMPRODUCT(($E$2:$L$2&lt;&gt;"Do.")*(E25:L25=4)*ISNUMBER(MATCH($E$2:$L$2,{"Ma.";"Lu.";"Mi.";"Ju.";"Vi.";"Sá."},0)))*1.5
+SUMPRODUCT(([1]Julio!$AL$2:$AW$2&lt;&gt;"Do.")*([1]Julio!AL21:AW21=5))*3
+SUMPRODUCT(([1]Julio!$AL$2:$AW$2&lt;&gt;"Do.")*([1]Julio!AL21:AW21=4)*ISNUMBER(MATCH([1]Julio!$AL$2:$AW$2,{"Ma.";"Lu.";"Mi.";"Ju.";"Vi.";"Sá."},0)))*1.5</f>
        <v>9</v>
      </c>
      <c r="BL25" s="11" t="str">
        <f>IFERROR(IF((VLOOKUP(B25,[2]DOMINICALES!D$7:H$27,5,FALSE))
+(VLOOKUP(B25,'[2]HORAS EXTRAS NOCTURNAS FESTIVAS'!D$7:H$27,5,FALSE))=BJ25,"OK","MAL"),"NO")</f>
        <v>OK</v>
      </c>
      <c r="BM25" s="11" t="str">
        <f>IFERROR(IF(VLOOKUP(B25,'[2]RECARGO NOCTURNO'!C$6:Q$26,15,FALSE)=BK25,"OK","MAL"),"NO")</f>
        <v>OK</v>
      </c>
      <c r="BN25" s="18" cm="1">
        <f t="array" ref="BN25">SUMPRODUCT(($M$2:$AI$2="Do.")*((M25:AI25=6)+(M25:AI25=7)+(M25:AI25=8)+(M25:AI25=10)+(M25:AI25=12))+(($M$2:$AI$2&lt;&gt;"Do.")*((M25:AI25=6)+(M25:AI25=7)+(M25:AI25=8)+(M25:AI25=10)+(M25:AI25=12))))*7
+SUMPRODUCT(($M$2:$AI$2="Do.")*((M25:AI25=9))+(($M$2:$AI$2&lt;&gt;"Do.")*((M25:AI25=9))))*13</f>
        <v>13</v>
      </c>
      <c r="BO25" s="20" cm="1">
        <f t="array" ref="BO25">SUMPRODUCT(($M$2:$AI$2&lt;&gt;"Do.")*(M25:AI25=5))*3
+SUMPRODUCT(($M$2:$AI$2&lt;&gt;"Do.")*(M25:AI25=4)*1.5
)</f>
        <v>0</v>
      </c>
      <c r="BP25" s="11" t="str">
        <f>IFERROR(IF((VLOOKUP(B25,[3]DOMINICALES!D$7:J$30,7,FALSE))
+(VLOOKUP(B25,'[3]HORAS EXTRAS NOCTURNAS FESTIVAS'!D$7:J$30,7,FALSE))=BN25,"OK","MAL"),"NO")</f>
        <v>OK</v>
      </c>
      <c r="BQ25" s="11" t="str">
        <f>IFERROR(IF(VLOOKUP(B25,'[3]RECARGO NOCTURNO'!C$6:P$29,14,FALSE)=BO25,"OK","MAL"),"NO")</f>
        <v>OK</v>
      </c>
    </row>
    <row r="26" spans="1:69" ht="18" customHeight="1">
      <c r="A26" s="4">
        <v>24</v>
      </c>
      <c r="B26" s="51" t="s">
        <v>78</v>
      </c>
      <c r="C26" s="52"/>
      <c r="D26" s="52"/>
      <c r="E26" s="53" t="s">
        <v>28</v>
      </c>
      <c r="F26" s="8"/>
      <c r="G26" s="9" t="s">
        <v>28</v>
      </c>
      <c r="H26" s="52"/>
      <c r="I26" s="52"/>
      <c r="J26" s="53">
        <v>5</v>
      </c>
      <c r="K26" s="53">
        <v>5</v>
      </c>
      <c r="L26" s="53">
        <v>5</v>
      </c>
      <c r="M26" s="53">
        <v>5</v>
      </c>
      <c r="N26" s="12"/>
      <c r="O26" s="13" t="s">
        <v>28</v>
      </c>
      <c r="P26" s="53" t="s">
        <v>28</v>
      </c>
      <c r="Q26" s="8"/>
      <c r="R26" s="9" t="s">
        <v>28</v>
      </c>
      <c r="S26" s="52"/>
      <c r="T26" s="52"/>
      <c r="U26" s="53">
        <v>5</v>
      </c>
      <c r="V26" s="53">
        <v>5</v>
      </c>
      <c r="W26" s="53">
        <v>5</v>
      </c>
      <c r="X26" s="53">
        <v>5</v>
      </c>
      <c r="Y26" s="53">
        <v>5</v>
      </c>
      <c r="Z26" s="53">
        <v>5</v>
      </c>
      <c r="AA26" s="8"/>
      <c r="AB26" s="9">
        <v>9</v>
      </c>
      <c r="AC26" s="12"/>
      <c r="AD26" s="13" t="s">
        <v>28</v>
      </c>
      <c r="AE26" s="52"/>
      <c r="AF26" s="52"/>
      <c r="AG26" s="53">
        <v>3</v>
      </c>
      <c r="AH26" s="53">
        <v>3</v>
      </c>
      <c r="AI26" s="53">
        <v>3</v>
      </c>
      <c r="AJ26" s="53">
        <v>3</v>
      </c>
      <c r="AK26" s="53">
        <v>5</v>
      </c>
      <c r="AL26" s="8"/>
      <c r="AM26" s="9" t="s">
        <v>28</v>
      </c>
      <c r="AN26" s="52"/>
      <c r="AO26" s="52"/>
      <c r="AP26" s="53">
        <v>5</v>
      </c>
      <c r="AQ26" s="53">
        <v>5</v>
      </c>
      <c r="AR26" s="53">
        <v>5</v>
      </c>
      <c r="AS26" s="53">
        <v>5</v>
      </c>
      <c r="AT26" s="53">
        <v>5</v>
      </c>
      <c r="AU26" s="53">
        <v>5</v>
      </c>
      <c r="AV26" s="8"/>
      <c r="AW26" s="9" t="s">
        <v>28</v>
      </c>
      <c r="AX26" s="54"/>
      <c r="AY26" s="54"/>
      <c r="AZ26" s="53">
        <v>1</v>
      </c>
      <c r="BA26" s="18" cm="1">
        <f t="array" ref="BA26">SUMPRODUCT((E26:AZ26=1)+(E26:AZ26=2))</f>
        <v>1</v>
      </c>
      <c r="BB26" s="18">
        <f t="shared" si="5"/>
        <v>4</v>
      </c>
      <c r="BC26" s="18" cm="1">
        <f t="array" ref="BC26">SUMPRODUCT((E26:AZ26=4)+(E26:AZ26=5))</f>
        <v>17</v>
      </c>
      <c r="BD26" s="18">
        <f t="shared" si="6"/>
        <v>0</v>
      </c>
      <c r="BE26" s="18">
        <f t="shared" si="7"/>
        <v>0</v>
      </c>
      <c r="BF26" s="18">
        <f t="shared" si="8"/>
        <v>0</v>
      </c>
      <c r="BG26" s="18">
        <f t="shared" si="9"/>
        <v>0</v>
      </c>
      <c r="BH26" s="23" cm="1">
        <f t="array" ref="BH26">SUMPRODUCT(($E$2:$AZ$2="Do.")*((E26:AZ26=6)+(E26:AZ26=7)+(E26:AZ26=8)+(E26:AZ26=10)+(E26:AZ26=12))+(($E$2:$AZ$2&lt;&gt;"Do.")*((E26:AZ26=6)+(E26:AZ26=7)+(E26:AZ26=8)+(E26:AZ26=10)+(E26:AZ26=12))))*7+SUMPRODUCT(($E$2:$AZ$2="Do.")*((E26:AZ26=9))+(($E$2:$AZ$2&lt;&gt;"Do.")*((E26:AZ26=9))))*13</f>
        <v>13</v>
      </c>
      <c r="BI26" s="18" cm="1">
        <f t="array" ref="BI26">SUMPRODUCT(($E$2:$AZ$2="Do.")*((E26:AZ26=6)+(E26:AZ26=7)+(E26:AZ26=8)+(E26:AZ26=9)+(E26:AZ26=10)+(E26:AZ26=12)))</f>
        <v>1</v>
      </c>
      <c r="BJ26" s="18" cm="1">
        <f t="array" ref="BJ26">SUMPRODUCT(([1]Julio!$AL$2:$AW$2="Do.")*(([1]Julio!AL22:AW22=6)+([1]Julio!AL22:AW22=7)+([1]Julio!AL22:AW22=8)+([1]Julio!AL22:AW22=10)+([1]Julio!AL22:AW22=12))+(([1]Julio!$AL$2:$AW$2&lt;&gt;"Do.")*(([1]Julio!AL22:AW22=6)+([1]Julio!AL22:AW22=7)+([1]Julio!AL22:AW22=8)+([1]Julio!AL22:AW22=10)+([1]Julio!AL22:AW22=12))))*7
+SUMPRODUCT(([1]Julio!$AL$2:$AW$2="Do.")*(([1]Julio!AL22:AW22=9))+(([1]Julio!$AL$2:$AW$2&lt;&gt;"Do.")*(([1]Julio!AL22:AW22=9))))*13
+SUMPRODUCT(($E$2:$L$2="Do.")*((E26:L26=6)+(E26:L26=7)+(E26:L26=8)+(E26:L26=10)+(E26:L26=12))+(($E$2:$L$2&lt;&gt;"Do.")*((E26:L26=6)+(E26:L26=7)+(E26:L26=8)+(E26:L26=10)+(E26:L26=12))))*7
+SUMPRODUCT(($E$2:$L$2="Do.")*((E26:L26=9))+(($E$2:$L$2&lt;&gt;"Do.")*((E26:L26=9))))*13</f>
        <v>13</v>
      </c>
      <c r="BK26" s="20" cm="1">
        <f t="array" ref="BK26">SUMPRODUCT(($E$2:L$2&lt;&gt;"Do.")*(E26:L26=5))*3
+SUMPRODUCT(($E$2:$L$2&lt;&gt;"Do.")*(E26:L26=4)*ISNUMBER(MATCH($E$2:$L$2,{"Ma.";"Lu.";"Mi.";"Ju.";"Vi.";"Sá."},0)))*1.5
+SUMPRODUCT(([1]Julio!$AL$2:$AW$2&lt;&gt;"Do.")*([1]Julio!AL22:AW22=5))*3
+SUMPRODUCT(([1]Julio!$AL$2:$AW$2&lt;&gt;"Do.")*([1]Julio!AL22:AW22=4)*ISNUMBER(MATCH([1]Julio!$AL$2:$AW$2,{"Ma.";"Lu.";"Mi.";"Ju.";"Vi.";"Sá."},0)))*1.5</f>
        <v>12</v>
      </c>
      <c r="BL26" s="11" t="str">
        <f>IFERROR(IF((VLOOKUP(B26,[2]DOMINICALES!D$7:H$27,5,FALSE))
+(VLOOKUP(B26,'[2]HORAS EXTRAS NOCTURNAS FESTIVAS'!D$7:H$27,5,FALSE))=BJ26,"OK","MAL"),"NO")</f>
        <v>OK</v>
      </c>
      <c r="BM26" s="11" t="str">
        <f>IFERROR(IF(VLOOKUP(B26,'[2]RECARGO NOCTURNO'!C$6:Q$26,15,FALSE)=BK26,"OK","MAL"),"NO")</f>
        <v>OK</v>
      </c>
      <c r="BN26" s="18" cm="1">
        <f t="array" ref="BN26">SUMPRODUCT(($M$2:$AI$2="Do.")*((M26:AI26=6)+(M26:AI26=7)+(M26:AI26=8)+(M26:AI26=10)+(M26:AI26=12))+(($M$2:$AI$2&lt;&gt;"Do.")*((M26:AI26=6)+(M26:AI26=7)+(M26:AI26=8)+(M26:AI26=10)+(M26:AI26=12))))*7
+SUMPRODUCT(($M$2:$AI$2="Do.")*((M26:AI26=9))+(($M$2:$AI$2&lt;&gt;"Do.")*((M26:AI26=9))))*13</f>
        <v>13</v>
      </c>
      <c r="BO26" s="20" cm="1">
        <f t="array" ref="BO26">SUMPRODUCT(($M$2:$AI$2&lt;&gt;"Do.")*(M26:AI26=5))*3
+SUMPRODUCT(($M$2:$AI$2&lt;&gt;"Do.")*(M26:AI26=4)*1.5
)</f>
        <v>21</v>
      </c>
      <c r="BP26" s="11" t="str">
        <f>IFERROR(IF((VLOOKUP(B26,[3]DOMINICALES!D$7:J$30,7,FALSE))
+(VLOOKUP(B26,'[3]HORAS EXTRAS NOCTURNAS FESTIVAS'!D$7:J$30,7,FALSE))=BN26,"OK","MAL"),"NO")</f>
        <v>OK</v>
      </c>
      <c r="BQ26" s="11" t="str">
        <f>IFERROR(IF(VLOOKUP(B26,'[3]RECARGO NOCTURNO'!C$6:P$29,14,FALSE)=BO26,"OK","MAL"),"NO")</f>
        <v>OK</v>
      </c>
    </row>
    <row r="27" spans="1:69" ht="20.100000000000001" customHeight="1">
      <c r="A27" s="86" t="s">
        <v>79</v>
      </c>
      <c r="B27" s="87"/>
      <c r="C27" s="55"/>
      <c r="D27" s="55"/>
      <c r="E27" s="56">
        <f>COUNTIF(E3:E22,"=1")+COUNTIF(E3:E22,"=2")</f>
        <v>5</v>
      </c>
      <c r="F27" s="57"/>
      <c r="G27" s="56">
        <f>COUNTIF(G3:G22,"=7")+COUNTIF(G3:G22,"=12")</f>
        <v>2</v>
      </c>
      <c r="H27" s="55"/>
      <c r="I27" s="55"/>
      <c r="J27" s="55">
        <f>COUNTIF(J3:J22,"=1")+COUNTIF(J3:J22,"=2")</f>
        <v>4</v>
      </c>
      <c r="K27" s="55">
        <f>COUNTIF(K3:K22,"=1")+COUNTIF(K3:K22,"=2")</f>
        <v>4</v>
      </c>
      <c r="L27" s="55">
        <f>COUNTIF(L3:L22,"=1")+COUNTIF(L3:L22,"=2")</f>
        <v>4</v>
      </c>
      <c r="M27" s="55">
        <f>COUNTIF(M3:M22,"=1")+COUNTIF(M3:M22,"=2")</f>
        <v>4</v>
      </c>
      <c r="N27" s="56"/>
      <c r="O27" s="55">
        <f>COUNTIF(O3:O22,"=7")+COUNTIF(O3:O22,"=12")</f>
        <v>2</v>
      </c>
      <c r="P27" s="55">
        <f>COUNTIF(P3:P22,"=1")+COUNTIF(P3:P22,"=2")</f>
        <v>5</v>
      </c>
      <c r="Q27" s="56"/>
      <c r="R27" s="55">
        <f>COUNTIF(R3:R22,"=7")+COUNTIF(R3:R22,"=12")</f>
        <v>2</v>
      </c>
      <c r="S27" s="55"/>
      <c r="T27" s="55"/>
      <c r="U27" s="55">
        <f t="shared" ref="U27:Z27" si="10">COUNTIF(U3:U22,"=1")+COUNTIF(U3:U22,"=2")</f>
        <v>9</v>
      </c>
      <c r="V27" s="55">
        <f t="shared" si="10"/>
        <v>8</v>
      </c>
      <c r="W27" s="55">
        <f t="shared" si="10"/>
        <v>8</v>
      </c>
      <c r="X27" s="55">
        <f t="shared" si="10"/>
        <v>9</v>
      </c>
      <c r="Y27" s="55">
        <f t="shared" si="10"/>
        <v>9</v>
      </c>
      <c r="Z27" s="55">
        <f t="shared" si="10"/>
        <v>9</v>
      </c>
      <c r="AA27" s="58"/>
      <c r="AB27" s="55">
        <f>COUNTIF(AB3:AB22,"=7")+COUNTIF(AB3:AB22,"=12")</f>
        <v>2</v>
      </c>
      <c r="AC27" s="55"/>
      <c r="AD27" s="55">
        <f>COUNTIF(AD3:AD22,"=7")+COUNTIF(AD3:AD22,"=12")</f>
        <v>2</v>
      </c>
      <c r="AE27" s="55"/>
      <c r="AF27" s="55"/>
      <c r="AG27" s="55">
        <f>COUNTIF(AG3:AG22,"=1")+COUNTIF(AG3:AG22,"=2")</f>
        <v>5</v>
      </c>
      <c r="AH27" s="55">
        <f>COUNTIF(AH3:AH22,"=1")+COUNTIF(AH3:AH22,"=2")</f>
        <v>5</v>
      </c>
      <c r="AI27" s="55">
        <f>COUNTIF(AI3:AI22,"=1")+COUNTIF(AI3:AI22,"=2")</f>
        <v>5</v>
      </c>
      <c r="AJ27" s="55">
        <f>COUNTIF(AJ3:AJ22,"=1")+COUNTIF(AJ3:AJ22,"=2")</f>
        <v>4</v>
      </c>
      <c r="AK27" s="56">
        <f>COUNTIF(AK3:AK22,"=1")+COUNTIF(AK3:AK22,"=2")</f>
        <v>5</v>
      </c>
      <c r="AL27" s="55"/>
      <c r="AM27" s="55">
        <f>COUNTIF(AM3:AM22,"=7")+COUNTIF(AM3:AM22,"=12")</f>
        <v>2</v>
      </c>
      <c r="AN27" s="55"/>
      <c r="AO27" s="55"/>
      <c r="AP27" s="55">
        <f t="shared" ref="AP27:AU27" si="11">COUNTIF(AP3:AP22,"=1")+COUNTIF(AP3:AP22,"=2")</f>
        <v>7</v>
      </c>
      <c r="AQ27" s="55">
        <f t="shared" si="11"/>
        <v>7</v>
      </c>
      <c r="AR27" s="55">
        <f t="shared" si="11"/>
        <v>8</v>
      </c>
      <c r="AS27" s="55">
        <f t="shared" si="11"/>
        <v>8</v>
      </c>
      <c r="AT27" s="55">
        <f t="shared" si="11"/>
        <v>8</v>
      </c>
      <c r="AU27" s="55">
        <f t="shared" si="11"/>
        <v>8</v>
      </c>
      <c r="AV27" s="55"/>
      <c r="AW27" s="55">
        <f>COUNTIF(AW3:AW22,"=7")+COUNTIF(AW3:AW22,"=12")</f>
        <v>2</v>
      </c>
      <c r="AX27" s="55"/>
      <c r="AY27" s="55"/>
      <c r="AZ27" s="55">
        <f>COUNTIF(AZ3:AZ22,"=1")+COUNTIF(AZ3:AZ22,"=2")</f>
        <v>8</v>
      </c>
      <c r="BA27" s="55"/>
      <c r="BB27" s="55"/>
      <c r="BC27" s="55"/>
      <c r="BD27" s="59">
        <f>SUM(BD3:BD26)</f>
        <v>0</v>
      </c>
      <c r="BE27" s="60">
        <f>SUM(BE3:BE26)</f>
        <v>59</v>
      </c>
      <c r="BF27" s="60">
        <f>SUM(BF3:BF26)</f>
        <v>8</v>
      </c>
      <c r="BG27" s="60">
        <f>SUM(BG3:BG26)</f>
        <v>35</v>
      </c>
      <c r="BH27" s="60"/>
      <c r="BI27" s="60"/>
      <c r="BJ27" s="61"/>
      <c r="BK27" s="61"/>
      <c r="BL27" s="61"/>
      <c r="BM27" s="61"/>
      <c r="BN27" s="61"/>
      <c r="BO27" s="61"/>
      <c r="BP27" s="61"/>
      <c r="BQ27" s="61"/>
    </row>
    <row r="28" spans="1:69" ht="20.100000000000001" customHeight="1">
      <c r="A28" s="86" t="s">
        <v>80</v>
      </c>
      <c r="B28" s="87"/>
      <c r="C28" s="55"/>
      <c r="D28" s="55"/>
      <c r="E28" s="55">
        <f t="shared" ref="E28" si="12">COUNTIF(E3:E22,"=3")</f>
        <v>6</v>
      </c>
      <c r="F28" s="55"/>
      <c r="G28" s="55">
        <f>COUNTIF(G3:G22,"=6")+COUNTIF(G3:G22,"=10")</f>
        <v>2</v>
      </c>
      <c r="H28" s="55"/>
      <c r="I28" s="55"/>
      <c r="J28" s="55">
        <f t="shared" ref="J28:P28" si="13">COUNTIF(J3:J22,"=3")</f>
        <v>5</v>
      </c>
      <c r="K28" s="55">
        <f t="shared" si="13"/>
        <v>5</v>
      </c>
      <c r="L28" s="55">
        <f t="shared" si="13"/>
        <v>5</v>
      </c>
      <c r="M28" s="55">
        <f t="shared" si="13"/>
        <v>4</v>
      </c>
      <c r="N28" s="55"/>
      <c r="O28" s="55">
        <f>COUNTIF(O3:O22,"=6")+COUNTIF(O3:O22,"=10")</f>
        <v>2</v>
      </c>
      <c r="P28" s="55">
        <f t="shared" si="13"/>
        <v>4</v>
      </c>
      <c r="Q28" s="55"/>
      <c r="R28" s="55">
        <f>COUNTIF(R3:R22,"=6")+COUNTIF(R3:R22,"=10")</f>
        <v>2</v>
      </c>
      <c r="S28" s="55"/>
      <c r="T28" s="55"/>
      <c r="U28" s="55">
        <f>COUNTIF(U3:U22,"=3")</f>
        <v>3</v>
      </c>
      <c r="V28" s="55">
        <f>COUNTIF(V3:V22,"=3")</f>
        <v>3</v>
      </c>
      <c r="W28" s="55">
        <f>COUNTIF(W3:W22,"=3")</f>
        <v>3</v>
      </c>
      <c r="X28" s="55">
        <f>COUNTIF(X3:X22,"=3")</f>
        <v>2</v>
      </c>
      <c r="Y28" s="55">
        <f t="shared" ref="Y28:Z28" si="14">COUNTIF(Y3:Y22,"=3")</f>
        <v>2</v>
      </c>
      <c r="Z28" s="55">
        <f t="shared" si="14"/>
        <v>2</v>
      </c>
      <c r="AA28" s="58"/>
      <c r="AB28" s="55">
        <f>COUNTIF(AB3:AB22,"=6")+COUNTIF(AB3:AB22,"=10")</f>
        <v>2</v>
      </c>
      <c r="AC28" s="55"/>
      <c r="AD28" s="55">
        <f>COUNTIF(AD3:AD22,"=6")+COUNTIF(AD3:AD22,"=10")</f>
        <v>2</v>
      </c>
      <c r="AE28" s="55"/>
      <c r="AF28" s="55"/>
      <c r="AG28" s="55">
        <f t="shared" ref="AG28:AK28" si="15">COUNTIF(AG3:AG22,"=3")</f>
        <v>5</v>
      </c>
      <c r="AH28" s="55">
        <f t="shared" si="15"/>
        <v>5</v>
      </c>
      <c r="AI28" s="55">
        <f t="shared" si="15"/>
        <v>5</v>
      </c>
      <c r="AJ28" s="55">
        <f t="shared" si="15"/>
        <v>5</v>
      </c>
      <c r="AK28" s="55">
        <f t="shared" si="15"/>
        <v>5</v>
      </c>
      <c r="AL28" s="55"/>
      <c r="AM28" s="55">
        <f>COUNTIF(AM3:AM22,"=6")+COUNTIF(AM3:AM22,"=10")</f>
        <v>2</v>
      </c>
      <c r="AN28" s="55"/>
      <c r="AO28" s="55"/>
      <c r="AP28" s="55">
        <f t="shared" ref="AP28" si="16">COUNTIF(AP3:AP22,"=3")</f>
        <v>4</v>
      </c>
      <c r="AQ28" s="55">
        <f>COUNTIF(AQ3:AQ22,"=3")</f>
        <v>4</v>
      </c>
      <c r="AR28" s="55">
        <f t="shared" ref="AR28:AZ28" si="17">COUNTIF(AR3:AR22,"=3")</f>
        <v>4</v>
      </c>
      <c r="AS28" s="55">
        <f t="shared" si="17"/>
        <v>4</v>
      </c>
      <c r="AT28" s="55">
        <f t="shared" si="17"/>
        <v>4</v>
      </c>
      <c r="AU28" s="55">
        <f t="shared" si="17"/>
        <v>4</v>
      </c>
      <c r="AV28" s="55"/>
      <c r="AW28" s="55">
        <f>COUNTIF(AW3:AW22,"=6")+COUNTIF(AW3:AW22,"=10")</f>
        <v>2</v>
      </c>
      <c r="AX28" s="55"/>
      <c r="AY28" s="55"/>
      <c r="AZ28" s="55">
        <f t="shared" si="17"/>
        <v>4</v>
      </c>
      <c r="BA28" s="55"/>
      <c r="BB28" s="55"/>
      <c r="BC28" s="55"/>
      <c r="BD28" s="55"/>
      <c r="BE28" s="61"/>
      <c r="BF28" s="55"/>
      <c r="BG28" s="55"/>
      <c r="BH28" s="55"/>
      <c r="BI28" s="55"/>
      <c r="BJ28" s="61"/>
      <c r="BK28" s="61"/>
      <c r="BL28" s="61"/>
      <c r="BM28" s="61"/>
      <c r="BN28" s="61"/>
      <c r="BO28" s="61"/>
      <c r="BP28" s="61"/>
      <c r="BQ28" s="61"/>
    </row>
    <row r="29" spans="1:69" ht="20.100000000000001" customHeight="1">
      <c r="A29" s="86" t="s">
        <v>81</v>
      </c>
      <c r="B29" s="87"/>
      <c r="C29" s="55"/>
      <c r="D29" s="55"/>
      <c r="E29" s="55">
        <f>COUNTIF(E3:E22,"=4")+COUNTIF(E3:E22,"=5")+COUNTIF(E3:E22,"=11")</f>
        <v>6</v>
      </c>
      <c r="F29" s="55"/>
      <c r="G29" s="55">
        <f>COUNTIF(G3:G22,"=8")</f>
        <v>2</v>
      </c>
      <c r="H29" s="55"/>
      <c r="I29" s="55"/>
      <c r="J29" s="55">
        <f>COUNTIF(J3:J22,"=4")+COUNTIF(J3:J22,"=5")+COUNTIF(J3:J22,"=11")</f>
        <v>5</v>
      </c>
      <c r="K29" s="55">
        <f>COUNTIF(K3:K22,"=4")+COUNTIF(K3:K22,"=5")+COUNTIF(K3:K22,"=11")</f>
        <v>7</v>
      </c>
      <c r="L29" s="55">
        <f>COUNTIF(L3:L22,"=4")+COUNTIF(L3:L22,"=5")+COUNTIF(L3:L22,"=11")</f>
        <v>8</v>
      </c>
      <c r="M29" s="55">
        <f>COUNTIF(M3:M22,"=4")+COUNTIF(M3:M22,"=5")+COUNTIF(M3:M22,"=11")</f>
        <v>8</v>
      </c>
      <c r="N29" s="55"/>
      <c r="O29" s="55">
        <f>COUNTIF(O3:O22,"=8")</f>
        <v>3</v>
      </c>
      <c r="P29" s="55">
        <f>COUNTIF(P3:P22,"=4")+COUNTIF(P3:P22,"=5")+COUNTIF(P3:P22,"=11")</f>
        <v>8</v>
      </c>
      <c r="Q29" s="55"/>
      <c r="R29" s="55">
        <f>COUNTIF(R3:R22,"=8")</f>
        <v>3</v>
      </c>
      <c r="S29" s="55"/>
      <c r="T29" s="55"/>
      <c r="U29" s="55">
        <f t="shared" ref="U29:Z29" si="18">COUNTIF(U3:U22,"=4")+COUNTIF(U3:U22,"=5")+COUNTIF(U3:U22,"=11")</f>
        <v>5</v>
      </c>
      <c r="V29" s="55">
        <f t="shared" si="18"/>
        <v>7</v>
      </c>
      <c r="W29" s="55">
        <f t="shared" si="18"/>
        <v>7</v>
      </c>
      <c r="X29" s="55">
        <f t="shared" si="18"/>
        <v>6</v>
      </c>
      <c r="Y29" s="55">
        <f t="shared" si="18"/>
        <v>6</v>
      </c>
      <c r="Z29" s="55">
        <f t="shared" si="18"/>
        <v>6</v>
      </c>
      <c r="AA29" s="58"/>
      <c r="AB29" s="55">
        <f>COUNTIF(AB3:AB22,"=8")</f>
        <v>3</v>
      </c>
      <c r="AC29" s="55"/>
      <c r="AD29" s="55">
        <f>COUNTIF(AD3:AD22,"=8")</f>
        <v>3</v>
      </c>
      <c r="AE29" s="55"/>
      <c r="AF29" s="55"/>
      <c r="AG29" s="55">
        <f>COUNTIF(AG3:AG22,"=4")+COUNTIF(AG3:AG22,"=5")+COUNTIF(AG3:AG22,"=11")</f>
        <v>7</v>
      </c>
      <c r="AH29" s="55">
        <f>COUNTIF(AH3:AH22,"=4")+COUNTIF(AH3:AH22,"=5")+COUNTIF(AH3:AH22,"=11")</f>
        <v>7</v>
      </c>
      <c r="AI29" s="55">
        <f>COUNTIF(AI3:AI22,"=4")+COUNTIF(AI3:AI22,"=5")+COUNTIF(AI3:AI22,"=11")</f>
        <v>7</v>
      </c>
      <c r="AJ29" s="55">
        <f>COUNTIF(AJ3:AJ22,"=4")+COUNTIF(AJ3:AJ22,"=5")+COUNTIF(AJ3:AJ22,"=11")</f>
        <v>7</v>
      </c>
      <c r="AK29" s="55">
        <f>COUNTIF(AK3:AK22,"=4")+COUNTIF(AK3:AK22,"=5")+COUNTIF(AK3:AK22,"=11")</f>
        <v>7</v>
      </c>
      <c r="AL29" s="55"/>
      <c r="AM29" s="55">
        <f>COUNTIF(AM3:AM22,"=8")</f>
        <v>3</v>
      </c>
      <c r="AN29" s="55"/>
      <c r="AO29" s="55"/>
      <c r="AP29" s="55">
        <f t="shared" ref="AP29:AU29" si="19">COUNTIF(AP3:AP22,"=4")+COUNTIF(AP3:AP22,"=5")+COUNTIF(AP3:AP22,"=11")</f>
        <v>6</v>
      </c>
      <c r="AQ29" s="55">
        <f t="shared" si="19"/>
        <v>6</v>
      </c>
      <c r="AR29" s="55">
        <f t="shared" si="19"/>
        <v>6</v>
      </c>
      <c r="AS29" s="55">
        <f t="shared" si="19"/>
        <v>6</v>
      </c>
      <c r="AT29" s="55">
        <f t="shared" si="19"/>
        <v>6</v>
      </c>
      <c r="AU29" s="55">
        <f t="shared" si="19"/>
        <v>6</v>
      </c>
      <c r="AV29" s="55"/>
      <c r="AW29" s="55">
        <f>COUNTIF(AW3:AW22,"=8")</f>
        <v>3</v>
      </c>
      <c r="AX29" s="55"/>
      <c r="AY29" s="55"/>
      <c r="AZ29" s="55">
        <f>COUNTIF(AZ3:AZ22,"=4")+COUNTIF(AZ3:AZ22,"=5")+COUNTIF(AZ3:AZ22,"=11")</f>
        <v>6</v>
      </c>
      <c r="BA29" s="55"/>
      <c r="BB29" s="55"/>
      <c r="BC29" s="55"/>
      <c r="BD29" s="55"/>
      <c r="BE29" s="61"/>
      <c r="BF29" s="55"/>
      <c r="BG29" s="55"/>
      <c r="BH29" s="55"/>
      <c r="BI29" s="55"/>
      <c r="BJ29" s="61"/>
      <c r="BK29" s="61"/>
      <c r="BL29" s="61"/>
      <c r="BM29" s="61"/>
      <c r="BN29" s="61"/>
      <c r="BO29" s="61"/>
      <c r="BP29" s="61"/>
      <c r="BQ29" s="61"/>
    </row>
    <row r="30" spans="1:69" ht="20.100000000000001" customHeight="1" thickBot="1">
      <c r="A30" s="88" t="s">
        <v>82</v>
      </c>
      <c r="B30" s="89"/>
      <c r="C30" s="62"/>
      <c r="D30" s="62"/>
      <c r="E30" s="62">
        <f t="shared" ref="E30" si="20">SUM(E27:E29)</f>
        <v>17</v>
      </c>
      <c r="F30" s="62"/>
      <c r="G30" s="62">
        <f t="shared" ref="G30" si="21">SUM(G27:G29)</f>
        <v>6</v>
      </c>
      <c r="H30" s="62"/>
      <c r="I30" s="62"/>
      <c r="J30" s="62">
        <f t="shared" ref="J30:P30" si="22">SUM(J27:J29)</f>
        <v>14</v>
      </c>
      <c r="K30" s="62">
        <f t="shared" si="22"/>
        <v>16</v>
      </c>
      <c r="L30" s="62">
        <f t="shared" si="22"/>
        <v>17</v>
      </c>
      <c r="M30" s="62">
        <f t="shared" si="22"/>
        <v>16</v>
      </c>
      <c r="N30" s="62"/>
      <c r="O30" s="62">
        <f t="shared" ref="O30" si="23">SUM(O27:O29)</f>
        <v>7</v>
      </c>
      <c r="P30" s="62">
        <f t="shared" si="22"/>
        <v>17</v>
      </c>
      <c r="Q30" s="62"/>
      <c r="R30" s="62">
        <f t="shared" ref="R30" si="24">SUM(R27:R29)</f>
        <v>7</v>
      </c>
      <c r="S30" s="62"/>
      <c r="T30" s="62"/>
      <c r="U30" s="62">
        <f t="shared" ref="U30:Z30" si="25">SUM(U27:U29)</f>
        <v>17</v>
      </c>
      <c r="V30" s="62">
        <f t="shared" si="25"/>
        <v>18</v>
      </c>
      <c r="W30" s="62">
        <f t="shared" si="25"/>
        <v>18</v>
      </c>
      <c r="X30" s="62">
        <f t="shared" si="25"/>
        <v>17</v>
      </c>
      <c r="Y30" s="62">
        <f t="shared" si="25"/>
        <v>17</v>
      </c>
      <c r="Z30" s="62">
        <f t="shared" si="25"/>
        <v>17</v>
      </c>
      <c r="AA30" s="62"/>
      <c r="AB30" s="62">
        <f t="shared" ref="AB30" si="26">SUM(AB27:AB29)</f>
        <v>7</v>
      </c>
      <c r="AC30" s="62"/>
      <c r="AD30" s="62">
        <f t="shared" ref="AD30" si="27">SUM(AD27:AD29)</f>
        <v>7</v>
      </c>
      <c r="AE30" s="62"/>
      <c r="AF30" s="62"/>
      <c r="AG30" s="62">
        <f t="shared" ref="AG30:AK30" si="28">SUM(AG27:AG29)</f>
        <v>17</v>
      </c>
      <c r="AH30" s="62">
        <f t="shared" si="28"/>
        <v>17</v>
      </c>
      <c r="AI30" s="62">
        <f t="shared" si="28"/>
        <v>17</v>
      </c>
      <c r="AJ30" s="62">
        <f t="shared" si="28"/>
        <v>16</v>
      </c>
      <c r="AK30" s="62">
        <f t="shared" si="28"/>
        <v>17</v>
      </c>
      <c r="AL30" s="62"/>
      <c r="AM30" s="62">
        <f t="shared" ref="AM30" si="29">SUM(AM27:AM29)</f>
        <v>7</v>
      </c>
      <c r="AN30" s="62"/>
      <c r="AO30" s="62"/>
      <c r="AP30" s="62">
        <f t="shared" ref="AP30:AZ30" si="30">SUM(AP27:AP29)</f>
        <v>17</v>
      </c>
      <c r="AQ30" s="62">
        <f t="shared" si="30"/>
        <v>17</v>
      </c>
      <c r="AR30" s="62">
        <f t="shared" si="30"/>
        <v>18</v>
      </c>
      <c r="AS30" s="62">
        <f t="shared" si="30"/>
        <v>18</v>
      </c>
      <c r="AT30" s="62">
        <f t="shared" si="30"/>
        <v>18</v>
      </c>
      <c r="AU30" s="62">
        <f t="shared" si="30"/>
        <v>18</v>
      </c>
      <c r="AV30" s="62"/>
      <c r="AW30" s="62">
        <f t="shared" ref="AW30" si="31">SUM(AW27:AW29)</f>
        <v>7</v>
      </c>
      <c r="AX30" s="62"/>
      <c r="AY30" s="62"/>
      <c r="AZ30" s="62">
        <f t="shared" si="30"/>
        <v>18</v>
      </c>
      <c r="BA30" s="59"/>
      <c r="BB30" s="55"/>
      <c r="BC30" s="61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</row>
    <row r="31" spans="1:69" ht="15.75" thickBot="1">
      <c r="A31" s="63"/>
      <c r="B31" s="64"/>
      <c r="K31" s="21"/>
      <c r="U31" s="21"/>
      <c r="AG31" s="21"/>
      <c r="AQ31" s="21"/>
    </row>
    <row r="32" spans="1:69" ht="18" customHeight="1">
      <c r="A32" s="65"/>
      <c r="B32" s="66" t="s">
        <v>83</v>
      </c>
      <c r="K32" s="21"/>
      <c r="S32" s="67"/>
      <c r="T32" s="67"/>
      <c r="U32" s="67"/>
      <c r="V32" s="67"/>
      <c r="W32" s="67"/>
      <c r="X32" s="67"/>
      <c r="Y32" s="67"/>
      <c r="Z32" s="67"/>
      <c r="AA32" s="67"/>
      <c r="AG32" s="21"/>
      <c r="AQ32" s="21"/>
    </row>
    <row r="33" spans="1:43" ht="18" customHeight="1">
      <c r="A33" s="65"/>
      <c r="B33" s="68" t="s">
        <v>84</v>
      </c>
      <c r="K33" s="21"/>
      <c r="U33" s="21"/>
      <c r="AE33" s="67"/>
      <c r="AG33" s="21"/>
      <c r="AQ33" s="21"/>
    </row>
    <row r="34" spans="1:43" ht="18" customHeight="1">
      <c r="A34" s="65"/>
      <c r="B34" s="69" t="s">
        <v>85</v>
      </c>
      <c r="K34" s="21"/>
      <c r="U34" s="21"/>
      <c r="AG34" s="21"/>
      <c r="AN34" s="21" t="s">
        <v>86</v>
      </c>
      <c r="AQ34" s="21"/>
    </row>
    <row r="35" spans="1:43" ht="18" customHeight="1">
      <c r="A35" s="65"/>
      <c r="B35" s="70" t="s">
        <v>87</v>
      </c>
      <c r="K35" s="21"/>
      <c r="U35" s="21"/>
      <c r="AG35" s="21"/>
      <c r="AQ35" s="21"/>
    </row>
    <row r="36" spans="1:43" ht="18" customHeight="1">
      <c r="A36" s="65"/>
      <c r="B36" s="71" t="s">
        <v>88</v>
      </c>
      <c r="K36" s="21"/>
      <c r="U36" s="21"/>
      <c r="AG36" s="21"/>
      <c r="AQ36" s="21"/>
    </row>
    <row r="37" spans="1:43" ht="18" customHeight="1">
      <c r="A37" s="65"/>
      <c r="B37" s="72" t="s">
        <v>89</v>
      </c>
      <c r="K37" s="21"/>
      <c r="U37" s="21"/>
      <c r="AG37" s="21"/>
      <c r="AQ37" s="21"/>
    </row>
    <row r="38" spans="1:43" ht="15" customHeight="1" thickBot="1">
      <c r="B38" s="73" t="s">
        <v>90</v>
      </c>
      <c r="K38" s="21"/>
      <c r="U38" s="21"/>
      <c r="AG38" s="21"/>
      <c r="AQ38" s="21"/>
    </row>
    <row r="39" spans="1:43" ht="15" customHeight="1">
      <c r="K39" s="21"/>
      <c r="U39" s="21"/>
      <c r="AG39" s="21"/>
      <c r="AQ39" s="21"/>
    </row>
    <row r="40" spans="1:43" ht="15" customHeight="1">
      <c r="K40" s="21"/>
      <c r="U40" s="21"/>
      <c r="AG40" s="21"/>
      <c r="AQ40" s="21"/>
    </row>
    <row r="43" spans="1:43" ht="15" customHeight="1">
      <c r="B43" s="76"/>
      <c r="C43" s="75"/>
      <c r="S43" s="75"/>
      <c r="U43" s="21"/>
      <c r="AN43" s="75"/>
      <c r="AQ43" s="21"/>
    </row>
    <row r="44" spans="1:43" ht="15" customHeight="1">
      <c r="B44" s="76"/>
      <c r="C44" s="75"/>
      <c r="S44" s="75"/>
      <c r="U44" s="21"/>
      <c r="AN44" s="75"/>
      <c r="AQ44" s="21"/>
    </row>
    <row r="45" spans="1:43" ht="15" customHeight="1">
      <c r="B45" s="76"/>
      <c r="C45" s="75"/>
      <c r="S45" s="75"/>
      <c r="U45" s="21"/>
      <c r="AN45" s="75"/>
      <c r="AQ45" s="21"/>
    </row>
    <row r="46" spans="1:43" ht="15" customHeight="1">
      <c r="B46" s="76"/>
      <c r="C46" s="75"/>
      <c r="S46" s="75"/>
      <c r="U46" s="21"/>
      <c r="AN46" s="75"/>
      <c r="AQ46" s="21"/>
    </row>
    <row r="47" spans="1:43" ht="15" customHeight="1">
      <c r="B47" s="76"/>
      <c r="C47" s="75"/>
      <c r="S47" s="75"/>
      <c r="U47" s="21"/>
      <c r="AN47" s="75"/>
      <c r="AQ47" s="21"/>
    </row>
    <row r="48" spans="1:43" ht="15" customHeight="1">
      <c r="B48" s="76"/>
      <c r="C48" s="75"/>
      <c r="S48" s="75"/>
      <c r="U48" s="21"/>
      <c r="AN48" s="75"/>
      <c r="AQ48" s="21"/>
    </row>
    <row r="49" spans="2:43" ht="15" customHeight="1">
      <c r="B49" s="76"/>
      <c r="C49" s="75"/>
      <c r="S49" s="75"/>
      <c r="U49" s="21"/>
      <c r="AN49" s="75"/>
      <c r="AQ49" s="21"/>
    </row>
    <row r="50" spans="2:43" ht="15" customHeight="1">
      <c r="B50" s="76"/>
      <c r="C50" s="75"/>
      <c r="S50" s="75"/>
      <c r="U50" s="21"/>
      <c r="AN50" s="75"/>
      <c r="AQ50" s="21"/>
    </row>
    <row r="51" spans="2:43" ht="15" customHeight="1">
      <c r="B51" s="76"/>
      <c r="C51" s="75"/>
      <c r="S51" s="75"/>
      <c r="U51" s="21"/>
      <c r="AN51" s="75"/>
      <c r="AQ51" s="21"/>
    </row>
    <row r="52" spans="2:43" ht="15" customHeight="1">
      <c r="B52" s="76"/>
      <c r="C52" s="75"/>
      <c r="S52" s="75"/>
      <c r="U52" s="21"/>
      <c r="AN52" s="75"/>
      <c r="AQ52" s="21"/>
    </row>
    <row r="53" spans="2:43" ht="15" customHeight="1">
      <c r="B53" s="76"/>
      <c r="C53" s="75"/>
      <c r="S53" s="75"/>
      <c r="U53" s="21"/>
      <c r="AN53" s="75"/>
      <c r="AQ53" s="21"/>
    </row>
    <row r="54" spans="2:43" ht="15" customHeight="1">
      <c r="B54" s="76"/>
      <c r="C54" s="75"/>
      <c r="S54" s="75"/>
      <c r="U54" s="21"/>
      <c r="AN54" s="75"/>
      <c r="AQ54" s="21"/>
    </row>
    <row r="55" spans="2:43" ht="15" customHeight="1">
      <c r="B55" s="76"/>
      <c r="C55" s="75"/>
      <c r="S55" s="75"/>
      <c r="U55" s="21"/>
      <c r="AN55" s="75"/>
      <c r="AQ55" s="21"/>
    </row>
    <row r="56" spans="2:43" ht="15" customHeight="1">
      <c r="B56" s="76"/>
      <c r="C56" s="75"/>
      <c r="S56" s="75"/>
      <c r="U56" s="21"/>
      <c r="AN56" s="75"/>
      <c r="AQ56" s="21"/>
    </row>
    <row r="57" spans="2:43" ht="15" customHeight="1">
      <c r="B57" s="76"/>
      <c r="C57" s="75"/>
      <c r="S57" s="75"/>
      <c r="U57" s="21"/>
      <c r="AN57" s="75"/>
      <c r="AQ57" s="21"/>
    </row>
    <row r="58" spans="2:43" ht="15" customHeight="1">
      <c r="B58" s="76"/>
      <c r="C58" s="75"/>
      <c r="S58" s="75"/>
      <c r="U58" s="21"/>
      <c r="AN58" s="75"/>
      <c r="AQ58" s="21"/>
    </row>
    <row r="59" spans="2:43" ht="15" customHeight="1">
      <c r="B59" s="76"/>
      <c r="C59" s="75"/>
      <c r="S59" s="75"/>
      <c r="U59" s="21"/>
      <c r="AN59" s="75"/>
      <c r="AQ59" s="21"/>
    </row>
    <row r="60" spans="2:43" ht="15" customHeight="1">
      <c r="B60" s="76"/>
      <c r="C60" s="75"/>
      <c r="S60" s="75"/>
      <c r="U60" s="21"/>
      <c r="AN60" s="75"/>
      <c r="AQ60" s="21"/>
    </row>
    <row r="61" spans="2:43" ht="15" customHeight="1">
      <c r="B61" s="76"/>
      <c r="C61" s="75"/>
      <c r="S61" s="75"/>
      <c r="U61" s="21"/>
      <c r="AN61" s="75"/>
      <c r="AQ61" s="21"/>
    </row>
    <row r="62" spans="2:43" ht="15" customHeight="1">
      <c r="B62" s="76"/>
      <c r="C62" s="75"/>
      <c r="S62" s="75"/>
      <c r="U62" s="21"/>
      <c r="AN62" s="75"/>
      <c r="AQ62" s="21"/>
    </row>
    <row r="63" spans="2:43" ht="15" customHeight="1">
      <c r="B63" s="76"/>
      <c r="C63" s="75"/>
      <c r="S63" s="75"/>
      <c r="U63" s="21"/>
      <c r="AN63" s="75"/>
      <c r="AQ63" s="21"/>
    </row>
  </sheetData>
  <sheetProtection sort="0" autoFilter="0"/>
  <mergeCells count="16">
    <mergeCell ref="A27:B27"/>
    <mergeCell ref="A28:B28"/>
    <mergeCell ref="A29:B29"/>
    <mergeCell ref="A30:B30"/>
    <mergeCell ref="BF1:BF2"/>
    <mergeCell ref="B1:B2"/>
    <mergeCell ref="BA1:BA2"/>
    <mergeCell ref="BB1:BB2"/>
    <mergeCell ref="BC1:BC2"/>
    <mergeCell ref="BD1:BD2"/>
    <mergeCell ref="BE1:BE2"/>
    <mergeCell ref="BG1:BG2"/>
    <mergeCell ref="BH1:BH2"/>
    <mergeCell ref="BI1:BI2"/>
    <mergeCell ref="BJ1:BM1"/>
    <mergeCell ref="BN1:BQ1"/>
  </mergeCells>
  <conditionalFormatting sqref="E3:E27">
    <cfRule type="containsText" dxfId="119" priority="78" operator="containsText" text="V">
      <formula>NOT(ISERROR(SEARCH("V",E3)))</formula>
    </cfRule>
    <cfRule type="containsText" dxfId="118" priority="84" operator="containsText" text="C">
      <formula>NOT(ISERROR(SEARCH("C",E3)))</formula>
    </cfRule>
    <cfRule type="containsText" dxfId="117" priority="83" operator="containsText" text="O">
      <formula>NOT(ISERROR(SEARCH("O",E3)))</formula>
    </cfRule>
    <cfRule type="containsText" dxfId="116" priority="82" operator="containsText" text="P">
      <formula>NOT(ISERROR(SEARCH("P",E3)))</formula>
    </cfRule>
    <cfRule type="containsText" dxfId="115" priority="81" operator="containsText" text="N">
      <formula>NOT(ISERROR(SEARCH("N",E3)))</formula>
    </cfRule>
    <cfRule type="containsText" dxfId="114" priority="80" operator="containsText" text="L">
      <formula>NOT(ISERROR(SEARCH("L",E3)))</formula>
    </cfRule>
    <cfRule type="containsText" dxfId="113" priority="79" operator="containsText" text="I">
      <formula>NOT(ISERROR(SEARCH("I",E3)))</formula>
    </cfRule>
  </conditionalFormatting>
  <conditionalFormatting sqref="G3:G27">
    <cfRule type="containsText" dxfId="112" priority="65" operator="containsText" text="I">
      <formula>NOT(ISERROR(SEARCH("I",G3)))</formula>
    </cfRule>
    <cfRule type="containsText" dxfId="111" priority="66" operator="containsText" text="L">
      <formula>NOT(ISERROR(SEARCH("L",G3)))</formula>
    </cfRule>
    <cfRule type="containsText" dxfId="110" priority="67" operator="containsText" text="N">
      <formula>NOT(ISERROR(SEARCH("N",G3)))</formula>
    </cfRule>
    <cfRule type="containsText" dxfId="109" priority="68" operator="containsText" text="P">
      <formula>NOT(ISERROR(SEARCH("P",G3)))</formula>
    </cfRule>
    <cfRule type="containsText" dxfId="108" priority="69" operator="containsText" text="O">
      <formula>NOT(ISERROR(SEARCH("O",G3)))</formula>
    </cfRule>
    <cfRule type="containsText" dxfId="107" priority="70" operator="containsText" text="C">
      <formula>NOT(ISERROR(SEARCH("C",G3)))</formula>
    </cfRule>
    <cfRule type="containsText" dxfId="106" priority="64" operator="containsText" text="V">
      <formula>NOT(ISERROR(SEARCH("V",G3)))</formula>
    </cfRule>
  </conditionalFormatting>
  <conditionalFormatting sqref="J3:M26">
    <cfRule type="containsText" dxfId="105" priority="39" operator="containsText" text="N">
      <formula>NOT(ISERROR(SEARCH("N",J3)))</formula>
    </cfRule>
    <cfRule type="containsText" dxfId="104" priority="42" operator="containsText" text="C">
      <formula>NOT(ISERROR(SEARCH("C",J3)))</formula>
    </cfRule>
    <cfRule type="containsText" dxfId="103" priority="41" operator="containsText" text="O">
      <formula>NOT(ISERROR(SEARCH("O",J3)))</formula>
    </cfRule>
    <cfRule type="containsText" dxfId="102" priority="40" operator="containsText" text="P">
      <formula>NOT(ISERROR(SEARCH("P",J3)))</formula>
    </cfRule>
    <cfRule type="containsText" dxfId="101" priority="38" operator="containsText" text="L">
      <formula>NOT(ISERROR(SEARCH("L",J3)))</formula>
    </cfRule>
    <cfRule type="containsText" dxfId="100" priority="37" operator="containsText" text="I">
      <formula>NOT(ISERROR(SEARCH("I",J3)))</formula>
    </cfRule>
    <cfRule type="containsText" dxfId="99" priority="36" operator="containsText" text="V">
      <formula>NOT(ISERROR(SEARCH("V",J3)))</formula>
    </cfRule>
  </conditionalFormatting>
  <conditionalFormatting sqref="N27">
    <cfRule type="containsText" dxfId="98" priority="98" operator="containsText" text="C">
      <formula>NOT(ISERROR(SEARCH("C",N27)))</formula>
    </cfRule>
    <cfRule type="containsText" dxfId="97" priority="97" operator="containsText" text="O">
      <formula>NOT(ISERROR(SEARCH("O",N27)))</formula>
    </cfRule>
    <cfRule type="containsText" dxfId="96" priority="96" operator="containsText" text="P">
      <formula>NOT(ISERROR(SEARCH("P",N27)))</formula>
    </cfRule>
    <cfRule type="containsText" dxfId="95" priority="95" operator="containsText" text="N">
      <formula>NOT(ISERROR(SEARCH("N",N27)))</formula>
    </cfRule>
    <cfRule type="containsText" dxfId="94" priority="94" operator="containsText" text="L">
      <formula>NOT(ISERROR(SEARCH("L",N27)))</formula>
    </cfRule>
    <cfRule type="containsText" dxfId="93" priority="93" operator="containsText" text="I">
      <formula>NOT(ISERROR(SEARCH("I",N27)))</formula>
    </cfRule>
    <cfRule type="containsText" dxfId="92" priority="92" operator="containsText" text="V">
      <formula>NOT(ISERROR(SEARCH("V",N27)))</formula>
    </cfRule>
  </conditionalFormatting>
  <conditionalFormatting sqref="O3:P26">
    <cfRule type="containsText" dxfId="91" priority="32" operator="containsText" text="N">
      <formula>NOT(ISERROR(SEARCH("N",O3)))</formula>
    </cfRule>
    <cfRule type="containsText" dxfId="90" priority="29" operator="containsText" text="V">
      <formula>NOT(ISERROR(SEARCH("V",O3)))</formula>
    </cfRule>
    <cfRule type="containsText" dxfId="89" priority="30" operator="containsText" text="I">
      <formula>NOT(ISERROR(SEARCH("I",O3)))</formula>
    </cfRule>
    <cfRule type="containsText" dxfId="88" priority="31" operator="containsText" text="L">
      <formula>NOT(ISERROR(SEARCH("L",O3)))</formula>
    </cfRule>
    <cfRule type="containsText" dxfId="87" priority="33" operator="containsText" text="P">
      <formula>NOT(ISERROR(SEARCH("P",O3)))</formula>
    </cfRule>
    <cfRule type="containsText" dxfId="86" priority="34" operator="containsText" text="O">
      <formula>NOT(ISERROR(SEARCH("O",O3)))</formula>
    </cfRule>
    <cfRule type="containsText" dxfId="85" priority="35" operator="containsText" text="C">
      <formula>NOT(ISERROR(SEARCH("C",O3)))</formula>
    </cfRule>
  </conditionalFormatting>
  <conditionalFormatting sqref="Q27">
    <cfRule type="containsText" dxfId="84" priority="112" operator="containsText" text="C">
      <formula>NOT(ISERROR(SEARCH("C",Q27)))</formula>
    </cfRule>
    <cfRule type="containsText" dxfId="83" priority="106" operator="containsText" text="V">
      <formula>NOT(ISERROR(SEARCH("V",Q27)))</formula>
    </cfRule>
    <cfRule type="containsText" dxfId="82" priority="107" operator="containsText" text="I">
      <formula>NOT(ISERROR(SEARCH("I",Q27)))</formula>
    </cfRule>
    <cfRule type="containsText" dxfId="81" priority="108" operator="containsText" text="L">
      <formula>NOT(ISERROR(SEARCH("L",Q27)))</formula>
    </cfRule>
    <cfRule type="containsText" dxfId="80" priority="109" operator="containsText" text="N">
      <formula>NOT(ISERROR(SEARCH("N",Q27)))</formula>
    </cfRule>
    <cfRule type="containsText" dxfId="79" priority="110" operator="containsText" text="P">
      <formula>NOT(ISERROR(SEARCH("P",Q27)))</formula>
    </cfRule>
    <cfRule type="containsText" dxfId="78" priority="111" operator="containsText" text="O">
      <formula>NOT(ISERROR(SEARCH("O",Q27)))</formula>
    </cfRule>
  </conditionalFormatting>
  <conditionalFormatting sqref="R3:R26">
    <cfRule type="containsText" dxfId="77" priority="43" operator="containsText" text="V">
      <formula>NOT(ISERROR(SEARCH("V",R3)))</formula>
    </cfRule>
    <cfRule type="containsText" dxfId="76" priority="44" operator="containsText" text="I">
      <formula>NOT(ISERROR(SEARCH("I",R3)))</formula>
    </cfRule>
    <cfRule type="containsText" dxfId="75" priority="45" operator="containsText" text="L">
      <formula>NOT(ISERROR(SEARCH("L",R3)))</formula>
    </cfRule>
    <cfRule type="containsText" dxfId="74" priority="46" operator="containsText" text="N">
      <formula>NOT(ISERROR(SEARCH("N",R3)))</formula>
    </cfRule>
    <cfRule type="containsText" dxfId="73" priority="47" operator="containsText" text="P">
      <formula>NOT(ISERROR(SEARCH("P",R3)))</formula>
    </cfRule>
    <cfRule type="containsText" dxfId="72" priority="48" operator="containsText" text="O">
      <formula>NOT(ISERROR(SEARCH("O",R3)))</formula>
    </cfRule>
    <cfRule type="containsText" dxfId="71" priority="49" operator="containsText" text="C">
      <formula>NOT(ISERROR(SEARCH("C",R3)))</formula>
    </cfRule>
  </conditionalFormatting>
  <conditionalFormatting sqref="S5">
    <cfRule type="containsText" dxfId="70" priority="8" operator="containsText" text="V">
      <formula>NOT(ISERROR(SEARCH("V",S5)))</formula>
    </cfRule>
    <cfRule type="containsText" dxfId="69" priority="14" operator="containsText" text="C">
      <formula>NOT(ISERROR(SEARCH("C",S5)))</formula>
    </cfRule>
    <cfRule type="containsText" dxfId="68" priority="13" operator="containsText" text="O">
      <formula>NOT(ISERROR(SEARCH("O",S5)))</formula>
    </cfRule>
    <cfRule type="containsText" dxfId="67" priority="12" operator="containsText" text="P">
      <formula>NOT(ISERROR(SEARCH("P",S5)))</formula>
    </cfRule>
    <cfRule type="containsText" dxfId="66" priority="11" operator="containsText" text="N">
      <formula>NOT(ISERROR(SEARCH("N",S5)))</formula>
    </cfRule>
    <cfRule type="containsText" dxfId="65" priority="10" operator="containsText" text="L">
      <formula>NOT(ISERROR(SEARCH("L",S5)))</formula>
    </cfRule>
    <cfRule type="containsText" dxfId="64" priority="9" operator="containsText" text="I">
      <formula>NOT(ISERROR(SEARCH("I",S5)))</formula>
    </cfRule>
  </conditionalFormatting>
  <conditionalFormatting sqref="U3:Z26">
    <cfRule type="containsText" dxfId="63" priority="2" operator="containsText" text="I">
      <formula>NOT(ISERROR(SEARCH("I",U3)))</formula>
    </cfRule>
    <cfRule type="containsText" dxfId="62" priority="1" operator="containsText" text="V">
      <formula>NOT(ISERROR(SEARCH("V",U3)))</formula>
    </cfRule>
    <cfRule type="containsText" dxfId="61" priority="7" operator="containsText" text="C">
      <formula>NOT(ISERROR(SEARCH("C",U3)))</formula>
    </cfRule>
    <cfRule type="containsText" dxfId="60" priority="6" operator="containsText" text="O">
      <formula>NOT(ISERROR(SEARCH("O",U3)))</formula>
    </cfRule>
    <cfRule type="containsText" dxfId="59" priority="5" operator="containsText" text="P">
      <formula>NOT(ISERROR(SEARCH("P",U3)))</formula>
    </cfRule>
    <cfRule type="containsText" dxfId="58" priority="4" operator="containsText" text="N">
      <formula>NOT(ISERROR(SEARCH("N",U3)))</formula>
    </cfRule>
    <cfRule type="containsText" dxfId="57" priority="3" operator="containsText" text="L">
      <formula>NOT(ISERROR(SEARCH("L",U3)))</formula>
    </cfRule>
  </conditionalFormatting>
  <conditionalFormatting sqref="AB3:AB26">
    <cfRule type="containsText" dxfId="56" priority="57" operator="containsText" text="V">
      <formula>NOT(ISERROR(SEARCH("V",AB3)))</formula>
    </cfRule>
    <cfRule type="containsText" dxfId="55" priority="58" operator="containsText" text="I">
      <formula>NOT(ISERROR(SEARCH("I",AB3)))</formula>
    </cfRule>
    <cfRule type="containsText" dxfId="54" priority="59" operator="containsText" text="L">
      <formula>NOT(ISERROR(SEARCH("L",AB3)))</formula>
    </cfRule>
    <cfRule type="containsText" dxfId="53" priority="60" operator="containsText" text="N">
      <formula>NOT(ISERROR(SEARCH("N",AB3)))</formula>
    </cfRule>
    <cfRule type="containsText" dxfId="52" priority="61" operator="containsText" text="P">
      <formula>NOT(ISERROR(SEARCH("P",AB3)))</formula>
    </cfRule>
    <cfRule type="containsText" dxfId="51" priority="62" operator="containsText" text="O">
      <formula>NOT(ISERROR(SEARCH("O",AB3)))</formula>
    </cfRule>
    <cfRule type="containsText" dxfId="50" priority="63" operator="containsText" text="C">
      <formula>NOT(ISERROR(SEARCH("C",AB3)))</formula>
    </cfRule>
  </conditionalFormatting>
  <conditionalFormatting sqref="AD3:AD26">
    <cfRule type="containsText" dxfId="49" priority="71" operator="containsText" text="V">
      <formula>NOT(ISERROR(SEARCH("V",AD3)))</formula>
    </cfRule>
    <cfRule type="containsText" dxfId="48" priority="72" operator="containsText" text="I">
      <formula>NOT(ISERROR(SEARCH("I",AD3)))</formula>
    </cfRule>
    <cfRule type="containsText" dxfId="47" priority="73" operator="containsText" text="L">
      <formula>NOT(ISERROR(SEARCH("L",AD3)))</formula>
    </cfRule>
    <cfRule type="containsText" dxfId="46" priority="74" operator="containsText" text="N">
      <formula>NOT(ISERROR(SEARCH("N",AD3)))</formula>
    </cfRule>
    <cfRule type="containsText" dxfId="45" priority="75" operator="containsText" text="P">
      <formula>NOT(ISERROR(SEARCH("P",AD3)))</formula>
    </cfRule>
    <cfRule type="containsText" dxfId="44" priority="76" operator="containsText" text="O">
      <formula>NOT(ISERROR(SEARCH("O",AD3)))</formula>
    </cfRule>
    <cfRule type="containsText" dxfId="43" priority="77" operator="containsText" text="C">
      <formula>NOT(ISERROR(SEARCH("C",AD3)))</formula>
    </cfRule>
  </conditionalFormatting>
  <conditionalFormatting sqref="AE14">
    <cfRule type="containsText" dxfId="42" priority="54" operator="containsText" text="P">
      <formula>NOT(ISERROR(SEARCH("P",AE14)))</formula>
    </cfRule>
    <cfRule type="containsText" dxfId="41" priority="55" operator="containsText" text="O">
      <formula>NOT(ISERROR(SEARCH("O",AE14)))</formula>
    </cfRule>
    <cfRule type="containsText" dxfId="40" priority="50" operator="containsText" text="V">
      <formula>NOT(ISERROR(SEARCH("V",AE14)))</formula>
    </cfRule>
    <cfRule type="containsText" dxfId="39" priority="51" operator="containsText" text="I">
      <formula>NOT(ISERROR(SEARCH("I",AE14)))</formula>
    </cfRule>
    <cfRule type="containsText" dxfId="38" priority="52" operator="containsText" text="L">
      <formula>NOT(ISERROR(SEARCH("L",AE14)))</formula>
    </cfRule>
    <cfRule type="containsText" dxfId="37" priority="56" operator="containsText" text="C">
      <formula>NOT(ISERROR(SEARCH("C",AE14)))</formula>
    </cfRule>
    <cfRule type="containsText" dxfId="36" priority="53" operator="containsText" text="N">
      <formula>NOT(ISERROR(SEARCH("N",AE14)))</formula>
    </cfRule>
  </conditionalFormatting>
  <conditionalFormatting sqref="AG3:AK26">
    <cfRule type="containsText" dxfId="35" priority="22" operator="containsText" text="V">
      <formula>NOT(ISERROR(SEARCH("V",AG3)))</formula>
    </cfRule>
    <cfRule type="containsText" dxfId="34" priority="28" operator="containsText" text="C">
      <formula>NOT(ISERROR(SEARCH("C",AG3)))</formula>
    </cfRule>
    <cfRule type="containsText" dxfId="33" priority="27" operator="containsText" text="O">
      <formula>NOT(ISERROR(SEARCH("O",AG3)))</formula>
    </cfRule>
    <cfRule type="containsText" dxfId="32" priority="26" operator="containsText" text="P">
      <formula>NOT(ISERROR(SEARCH("P",AG3)))</formula>
    </cfRule>
    <cfRule type="containsText" dxfId="31" priority="25" operator="containsText" text="N">
      <formula>NOT(ISERROR(SEARCH("N",AG3)))</formula>
    </cfRule>
    <cfRule type="containsText" dxfId="30" priority="24" operator="containsText" text="L">
      <formula>NOT(ISERROR(SEARCH("L",AG3)))</formula>
    </cfRule>
    <cfRule type="containsText" dxfId="29" priority="23" operator="containsText" text="I">
      <formula>NOT(ISERROR(SEARCH("I",AG3)))</formula>
    </cfRule>
  </conditionalFormatting>
  <conditionalFormatting sqref="AK27">
    <cfRule type="containsText" dxfId="28" priority="101" operator="containsText" text="L">
      <formula>NOT(ISERROR(SEARCH("L",AK27)))</formula>
    </cfRule>
    <cfRule type="containsText" dxfId="27" priority="103" operator="containsText" text="P">
      <formula>NOT(ISERROR(SEARCH("P",AK27)))</formula>
    </cfRule>
    <cfRule type="containsText" dxfId="26" priority="104" operator="containsText" text="O">
      <formula>NOT(ISERROR(SEARCH("O",AK27)))</formula>
    </cfRule>
    <cfRule type="containsText" dxfId="25" priority="105" operator="containsText" text="C">
      <formula>NOT(ISERROR(SEARCH("C",AK27)))</formula>
    </cfRule>
    <cfRule type="containsText" dxfId="24" priority="102" operator="containsText" text="N">
      <formula>NOT(ISERROR(SEARCH("N",AK27)))</formula>
    </cfRule>
    <cfRule type="containsText" dxfId="23" priority="99" operator="containsText" text="V">
      <formula>NOT(ISERROR(SEARCH("V",AK27)))</formula>
    </cfRule>
    <cfRule type="containsText" dxfId="22" priority="100" operator="containsText" text="I">
      <formula>NOT(ISERROR(SEARCH("I",AK27)))</formula>
    </cfRule>
  </conditionalFormatting>
  <conditionalFormatting sqref="AM3:AM26">
    <cfRule type="containsText" dxfId="21" priority="113" operator="containsText" text="V">
      <formula>NOT(ISERROR(SEARCH("V",AM3)))</formula>
    </cfRule>
    <cfRule type="containsText" dxfId="20" priority="114" operator="containsText" text="I">
      <formula>NOT(ISERROR(SEARCH("I",AM3)))</formula>
    </cfRule>
    <cfRule type="containsText" dxfId="19" priority="115" operator="containsText" text="L">
      <formula>NOT(ISERROR(SEARCH("L",AM3)))</formula>
    </cfRule>
    <cfRule type="containsText" dxfId="18" priority="116" operator="containsText" text="N">
      <formula>NOT(ISERROR(SEARCH("N",AM3)))</formula>
    </cfRule>
    <cfRule type="containsText" dxfId="17" priority="117" operator="containsText" text="P">
      <formula>NOT(ISERROR(SEARCH("P",AM3)))</formula>
    </cfRule>
    <cfRule type="containsText" dxfId="16" priority="118" operator="containsText" text="O">
      <formula>NOT(ISERROR(SEARCH("O",AM3)))</formula>
    </cfRule>
    <cfRule type="containsText" dxfId="15" priority="119" operator="containsText" text="C">
      <formula>NOT(ISERROR(SEARCH("C",AM3)))</formula>
    </cfRule>
  </conditionalFormatting>
  <conditionalFormatting sqref="AP3:AU26">
    <cfRule type="containsText" dxfId="14" priority="16" operator="containsText" text="I">
      <formula>NOT(ISERROR(SEARCH("I",AP3)))</formula>
    </cfRule>
    <cfRule type="containsText" dxfId="13" priority="18" operator="containsText" text="N">
      <formula>NOT(ISERROR(SEARCH("N",AP3)))</formula>
    </cfRule>
    <cfRule type="containsText" dxfId="12" priority="15" operator="containsText" text="V">
      <formula>NOT(ISERROR(SEARCH("V",AP3)))</formula>
    </cfRule>
    <cfRule type="containsText" dxfId="11" priority="17" operator="containsText" text="L">
      <formula>NOT(ISERROR(SEARCH("L",AP3)))</formula>
    </cfRule>
    <cfRule type="containsText" dxfId="10" priority="19" operator="containsText" text="P">
      <formula>NOT(ISERROR(SEARCH("P",AP3)))</formula>
    </cfRule>
    <cfRule type="containsText" dxfId="9" priority="20" operator="containsText" text="O">
      <formula>NOT(ISERROR(SEARCH("O",AP3)))</formula>
    </cfRule>
    <cfRule type="containsText" dxfId="8" priority="21" operator="containsText" text="C">
      <formula>NOT(ISERROR(SEARCH("C",AP3)))</formula>
    </cfRule>
  </conditionalFormatting>
  <conditionalFormatting sqref="AW3:AW26 AZ3:AZ26">
    <cfRule type="containsText" dxfId="7" priority="85" operator="containsText" text="V">
      <formula>NOT(ISERROR(SEARCH("V",AW3)))</formula>
    </cfRule>
    <cfRule type="containsText" dxfId="6" priority="86" operator="containsText" text="I">
      <formula>NOT(ISERROR(SEARCH("I",AW3)))</formula>
    </cfRule>
    <cfRule type="containsText" dxfId="5" priority="90" operator="containsText" text="O">
      <formula>NOT(ISERROR(SEARCH("O",AW3)))</formula>
    </cfRule>
    <cfRule type="containsText" dxfId="4" priority="91" operator="containsText" text="C">
      <formula>NOT(ISERROR(SEARCH("C",AW3)))</formula>
    </cfRule>
    <cfRule type="containsText" dxfId="3" priority="89" operator="containsText" text="P">
      <formula>NOT(ISERROR(SEARCH("P",AW3)))</formula>
    </cfRule>
    <cfRule type="containsText" dxfId="2" priority="88" operator="containsText" text="N">
      <formula>NOT(ISERROR(SEARCH("N",AW3)))</formula>
    </cfRule>
    <cfRule type="containsText" dxfId="1" priority="87" operator="containsText" text="L">
      <formula>NOT(ISERROR(SEARCH("L",AW3)))</formula>
    </cfRule>
  </conditionalFormatting>
  <conditionalFormatting sqref="BI3:BI26">
    <cfRule type="cellIs" dxfId="0" priority="120" operator="greaterThanOrEqual">
      <formula>3</formula>
    </cfRule>
  </conditionalFormatting>
  <dataValidations count="3">
    <dataValidation type="list" allowBlank="1" showInputMessage="1" showErrorMessage="1" sqref="I3:I29 AO3:AO26 T3:T26 AF3:AF29 D3:D26 AY3:AY22" xr:uid="{A5EEE72C-2644-4F14-A08B-B91227635A43}">
      <formula1>ALMUERZO</formula1>
    </dataValidation>
    <dataValidation type="list" allowBlank="1" showInputMessage="1" showErrorMessage="1" sqref="AG3:AK26 E3:E26 G5 AX23:AY27 AP3:AU26 AB3:AB27 AM3:AM27 J3:M26 O3:P27 U3:Z26 AD3:AD27 G3 G12:G27 R3:R27 AW3:AW27 AZ3:AZ26" xr:uid="{6B8FA337-870A-4CF9-9098-EBD569BC6D6E}">
      <formula1>TURNOS</formula1>
    </dataValidation>
    <dataValidation type="list" allowBlank="1" showInputMessage="1" showErrorMessage="1" sqref="Q27 F27 AA27 AL27 AC27 AV27 N27 AN4:AN26 AE3:AE29 H3:H29 C3:C26 S3:S26 AX4:AX22" xr:uid="{E22CA8E9-562D-4D4B-B18B-03DC51E372C0}">
      <formula1>BREAK</formula1>
    </dataValidation>
  </dataValidations>
  <pageMargins left="0.7" right="0.7" top="0.75" bottom="0.75" header="0.3" footer="0.3"/>
  <pageSetup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C71ED-C437-4C63-9D08-7C5B8EEA48C9}">
  <dimension ref="A1:F21"/>
  <sheetViews>
    <sheetView topLeftCell="A6" workbookViewId="0">
      <selection activeCell="D15" sqref="D15"/>
    </sheetView>
  </sheetViews>
  <sheetFormatPr defaultColWidth="11.42578125" defaultRowHeight="14.25"/>
  <cols>
    <col min="1" max="1" width="10.28515625" style="21" bestFit="1" customWidth="1"/>
    <col min="2" max="3" width="20.7109375" style="21" customWidth="1"/>
    <col min="4" max="4" width="17.28515625" style="21" customWidth="1"/>
    <col min="5" max="5" width="12.85546875" style="21" bestFit="1" customWidth="1"/>
    <col min="6" max="6" width="20.85546875" style="21" bestFit="1" customWidth="1"/>
    <col min="7" max="16384" width="11.42578125" style="21"/>
  </cols>
  <sheetData>
    <row r="1" spans="1:6" s="3" customFormat="1" ht="15">
      <c r="A1" s="61" t="s">
        <v>91</v>
      </c>
      <c r="B1" s="61" t="s">
        <v>92</v>
      </c>
      <c r="C1" s="61" t="s">
        <v>93</v>
      </c>
      <c r="D1" s="61" t="s">
        <v>13</v>
      </c>
      <c r="E1" s="61" t="s">
        <v>94</v>
      </c>
      <c r="F1" s="61" t="s">
        <v>95</v>
      </c>
    </row>
    <row r="2" spans="1:6" ht="15">
      <c r="A2" s="61">
        <v>1</v>
      </c>
      <c r="B2" s="77">
        <v>0.25</v>
      </c>
      <c r="C2" s="77">
        <v>0.58333333333333337</v>
      </c>
      <c r="D2" s="78" t="s">
        <v>96</v>
      </c>
      <c r="E2" s="77">
        <v>0.5</v>
      </c>
      <c r="F2" s="77">
        <v>0.375</v>
      </c>
    </row>
    <row r="3" spans="1:6" ht="15">
      <c r="A3" s="61">
        <v>2</v>
      </c>
      <c r="B3" s="77">
        <v>0.29166666666666669</v>
      </c>
      <c r="C3" s="77">
        <v>0.625</v>
      </c>
      <c r="D3" s="79" t="s">
        <v>97</v>
      </c>
      <c r="E3" s="77">
        <v>0.5625</v>
      </c>
      <c r="F3" s="77">
        <v>0.39583333333333331</v>
      </c>
    </row>
    <row r="4" spans="1:6" ht="15">
      <c r="A4" s="61">
        <v>3</v>
      </c>
      <c r="B4" s="77">
        <v>0.33333333333333331</v>
      </c>
      <c r="C4" s="77">
        <v>0.70833333333333337</v>
      </c>
      <c r="D4" s="79" t="s">
        <v>98</v>
      </c>
      <c r="E4" s="77">
        <v>0.5625</v>
      </c>
      <c r="F4" s="77">
        <v>0.47916666666666669</v>
      </c>
    </row>
    <row r="5" spans="1:6" ht="15">
      <c r="A5" s="61">
        <v>4</v>
      </c>
      <c r="B5" s="77">
        <v>0.54166666666666663</v>
      </c>
      <c r="C5" s="77">
        <v>0.875</v>
      </c>
      <c r="D5" s="79" t="s">
        <v>99</v>
      </c>
      <c r="E5" s="77">
        <v>0.52083333333333337</v>
      </c>
      <c r="F5" s="77">
        <v>0.5</v>
      </c>
    </row>
    <row r="6" spans="1:6" ht="15">
      <c r="A6" s="61">
        <v>5</v>
      </c>
      <c r="B6" s="77">
        <v>0.57638888888888884</v>
      </c>
      <c r="C6" s="77">
        <v>0.90972222222222221</v>
      </c>
      <c r="D6" s="79" t="s">
        <v>100</v>
      </c>
      <c r="E6" s="77">
        <v>0.54166666666666663</v>
      </c>
      <c r="F6" s="77">
        <v>0.60416666666666663</v>
      </c>
    </row>
    <row r="7" spans="1:6" ht="15">
      <c r="A7" s="80">
        <v>6</v>
      </c>
      <c r="B7" s="81">
        <v>0.33333333333333331</v>
      </c>
      <c r="C7" s="81">
        <v>0.625</v>
      </c>
      <c r="D7" s="79" t="s">
        <v>101</v>
      </c>
      <c r="E7" s="77">
        <v>0.47916666666666669</v>
      </c>
      <c r="F7" s="77">
        <v>0.64583333333333337</v>
      </c>
    </row>
    <row r="8" spans="1:6" ht="15">
      <c r="A8" s="80">
        <v>7</v>
      </c>
      <c r="B8" s="81">
        <v>0.25</v>
      </c>
      <c r="C8" s="81">
        <v>0.54166666666666663</v>
      </c>
      <c r="D8" s="79" t="s">
        <v>102</v>
      </c>
      <c r="E8" s="82"/>
      <c r="F8" s="77">
        <v>0.66666666666666663</v>
      </c>
    </row>
    <row r="9" spans="1:6" ht="15">
      <c r="A9" s="80">
        <v>8</v>
      </c>
      <c r="B9" s="81">
        <v>0.54166666666666663</v>
      </c>
      <c r="C9" s="81">
        <v>0.83333333333333337</v>
      </c>
      <c r="D9" s="79" t="s">
        <v>31</v>
      </c>
      <c r="E9" s="82"/>
      <c r="F9" s="77">
        <v>0.6875</v>
      </c>
    </row>
    <row r="10" spans="1:6" ht="15">
      <c r="A10" s="80">
        <v>9</v>
      </c>
      <c r="B10" s="81">
        <v>0.29166666666666669</v>
      </c>
      <c r="C10" s="81">
        <v>0.83333333333333337</v>
      </c>
      <c r="D10" s="79" t="s">
        <v>103</v>
      </c>
      <c r="E10" s="77"/>
      <c r="F10" s="82"/>
    </row>
    <row r="11" spans="1:6" ht="15">
      <c r="A11" s="80">
        <v>10</v>
      </c>
      <c r="B11" s="81">
        <v>0.41666666666666669</v>
      </c>
      <c r="C11" s="81">
        <v>0.70833333333333337</v>
      </c>
      <c r="D11" s="79" t="s">
        <v>104</v>
      </c>
      <c r="E11" s="82"/>
      <c r="F11" s="82"/>
    </row>
    <row r="12" spans="1:6" ht="15">
      <c r="A12" s="61">
        <v>11</v>
      </c>
      <c r="B12" s="77">
        <v>0.45833333333333331</v>
      </c>
      <c r="C12" s="77">
        <v>0.83333333333333337</v>
      </c>
      <c r="D12" s="79" t="s">
        <v>105</v>
      </c>
      <c r="E12" s="82"/>
      <c r="F12" s="82"/>
    </row>
    <row r="13" spans="1:6" ht="15">
      <c r="A13" s="80">
        <v>12</v>
      </c>
      <c r="B13" s="81">
        <v>0.29166666666666669</v>
      </c>
      <c r="C13" s="81">
        <v>0.58333333333333337</v>
      </c>
      <c r="D13" s="79" t="s">
        <v>27</v>
      </c>
      <c r="E13" s="82"/>
      <c r="F13" s="82"/>
    </row>
    <row r="14" spans="1:6" ht="15">
      <c r="A14" s="61" t="s">
        <v>28</v>
      </c>
      <c r="B14" s="82" t="s">
        <v>106</v>
      </c>
      <c r="C14" s="82"/>
      <c r="D14" s="79" t="s">
        <v>40</v>
      </c>
      <c r="E14" s="82"/>
      <c r="F14" s="82"/>
    </row>
    <row r="15" spans="1:6" ht="15">
      <c r="A15" s="61" t="s">
        <v>29</v>
      </c>
      <c r="B15" s="82" t="s">
        <v>83</v>
      </c>
      <c r="C15" s="82"/>
      <c r="D15" s="79" t="s">
        <v>49</v>
      </c>
      <c r="E15" s="82"/>
      <c r="F15" s="82"/>
    </row>
    <row r="16" spans="1:6" ht="15">
      <c r="A16" s="61" t="s">
        <v>107</v>
      </c>
      <c r="B16" s="82" t="s">
        <v>108</v>
      </c>
      <c r="C16" s="82"/>
      <c r="D16" s="79" t="s">
        <v>56</v>
      </c>
      <c r="E16" s="82"/>
      <c r="F16" s="82"/>
    </row>
    <row r="17" spans="1:6" ht="15">
      <c r="A17" s="61" t="s">
        <v>109</v>
      </c>
      <c r="B17" s="82" t="s">
        <v>110</v>
      </c>
      <c r="C17" s="82"/>
      <c r="D17" s="79" t="s">
        <v>47</v>
      </c>
      <c r="E17" s="82"/>
      <c r="F17" s="82"/>
    </row>
    <row r="18" spans="1:6" ht="28.5">
      <c r="A18" s="61" t="s">
        <v>111</v>
      </c>
      <c r="B18" s="83" t="s">
        <v>112</v>
      </c>
      <c r="C18" s="83"/>
      <c r="D18" s="79" t="s">
        <v>44</v>
      </c>
      <c r="E18" s="82"/>
      <c r="F18" s="82"/>
    </row>
    <row r="19" spans="1:6" ht="15">
      <c r="A19" s="61" t="s">
        <v>50</v>
      </c>
      <c r="B19" s="82" t="s">
        <v>7</v>
      </c>
      <c r="C19" s="82"/>
      <c r="D19" s="79" t="s">
        <v>33</v>
      </c>
      <c r="E19" s="82"/>
      <c r="F19" s="82"/>
    </row>
    <row r="20" spans="1:6" ht="15">
      <c r="A20" s="61" t="s">
        <v>113</v>
      </c>
      <c r="B20" s="82" t="s">
        <v>114</v>
      </c>
      <c r="C20" s="82"/>
      <c r="D20" s="79" t="s">
        <v>39</v>
      </c>
      <c r="E20" s="82"/>
      <c r="F20" s="82"/>
    </row>
    <row r="21" spans="1:6" ht="15">
      <c r="A21" s="61" t="s">
        <v>51</v>
      </c>
      <c r="B21" s="82" t="s">
        <v>8</v>
      </c>
      <c r="C21" s="82"/>
      <c r="D21" s="77">
        <v>0.5</v>
      </c>
      <c r="E21" s="82"/>
      <c r="F21" s="82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Oscar Ariel Acuña Sánchez</dc:creator>
  <cp:keywords/>
  <dc:description/>
  <cp:lastModifiedBy>Jair De Jesus Uribe Valencia</cp:lastModifiedBy>
  <cp:revision/>
  <dcterms:created xsi:type="dcterms:W3CDTF">2026-09-02T15:03:48Z</dcterms:created>
  <dcterms:modified xsi:type="dcterms:W3CDTF">2026-09-02T15:05:43Z</dcterms:modified>
  <cp:category/>
  <cp:contentStatus/>
</cp:coreProperties>
</file>